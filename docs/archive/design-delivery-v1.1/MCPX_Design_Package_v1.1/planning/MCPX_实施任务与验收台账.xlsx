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2a9e20c08343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总览" sheetId="1" r:id="Ra7f5fcfdd0664af1"/>
    <x:sheet xmlns:r="http://schemas.openxmlformats.org/officeDocument/2006/relationships" name="WBS" sheetId="2" r:id="R554e9b87bcb347ce"/>
    <x:sheet xmlns:r="http://schemas.openxmlformats.org/officeDocument/2006/relationships" name="阶段甘特" sheetId="3" r:id="R7115c1da49a24d19"/>
    <x:sheet xmlns:r="http://schemas.openxmlformats.org/officeDocument/2006/relationships" name="角色容量" sheetId="4" r:id="R1bdfb2c7002149f1"/>
    <x:sheet xmlns:r="http://schemas.openxmlformats.org/officeDocument/2006/relationships" name="需求验收" sheetId="5" r:id="R9106d477e2b14f17"/>
    <x:sheet xmlns:r="http://schemas.openxmlformats.org/officeDocument/2006/relationships" name="测试目录" sheetId="6" r:id="Rf4cf6a659ae14215"/>
    <x:sheet xmlns:r="http://schemas.openxmlformats.org/officeDocument/2006/relationships" name="风险登记" sheetId="7" r:id="Rc84504715db54953"/>
    <x:sheet xmlns:r="http://schemas.openxmlformats.org/officeDocument/2006/relationships" name="ADR" sheetId="8" r:id="Re5049e32bade4b31"/>
    <x:sheet xmlns:r="http://schemas.openxmlformats.org/officeDocument/2006/relationships" name="上线检查" sheetId="9" r:id="R8ed91900dfd74a36"/>
    <x:sheet xmlns:r="http://schemas.openxmlformats.org/officeDocument/2006/relationships" name="来源说明" sheetId="10" r:id="Rb6bed9ae49bb4e08"/>
    <x:sheet xmlns:r="http://schemas.openxmlformats.org/officeDocument/2006/relationships" name="DDD上下文" sheetId="11" r:id="R7d445ab6f3764c45"/>
    <x:sheet xmlns:r="http://schemas.openxmlformats.org/officeDocument/2006/relationships" name="工程治理" sheetId="12" r:id="Rc264a139d44b43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%"/>
    <x:numFmt numFmtId="202" formatCode="0"/>
    <x:numFmt numFmtId="203" formatCode="0.0%"/>
  </x:numFmts>
  <x:fonts count="16">
    <x:font>
      <x:sz val="11"/>
      <x:name val="Carlito"/>
    </x:font>
    <x:font>
      <x:sz val="10"/>
      <x:color rgb="FF243746"/>
      <x:name val="Noto Sans CJK SC"/>
    </x:font>
    <x:font>
      <x:b/>
      <x:sz val="19"/>
      <x:color rgb="FFFFFFFF"/>
      <x:name val="Noto Sans CJK SC"/>
    </x:font>
    <x:font>
      <x:sz val="10"/>
      <x:color rgb="FF617282"/>
      <x:name val="Noto Sans CJK SC"/>
    </x:font>
    <x:font>
      <x:b/>
      <x:sz val="10"/>
      <x:color rgb="FFFFFFFF"/>
      <x:name val="Noto Sans CJK SC"/>
    </x:font>
    <x:font>
      <x:sz val="10"/>
      <x:color rgb="FF1459A1"/>
      <x:name val="Noto Sans CJK SC"/>
    </x:font>
    <x:font>
      <x:b/>
      <x:sz val="24"/>
      <x:color rgb="FFFFFFFF"/>
      <x:name val="Noto Sans CJK SC"/>
    </x:font>
    <x:font>
      <x:b/>
      <x:sz val="10"/>
      <x:color rgb="FF1459A1"/>
      <x:name val="Noto Sans CJK SC"/>
    </x:font>
    <x:font>
      <x:b/>
      <x:sz val="13"/>
      <x:color rgb="FF243746"/>
      <x:name val="Noto Sans CJK SC"/>
    </x:font>
    <x:font>
      <x:b/>
      <x:sz val="18"/>
      <x:color rgb="FFFFFFFF"/>
      <x:name val="Carlito"/>
    </x:font>
    <x:font>
      <x:sz val="10"/>
      <x:color rgb="FF146B6B"/>
      <x:name val="Carlito"/>
    </x:font>
    <x:font>
      <x:b/>
      <x:sz val="10"/>
      <x:color rgb="FFFFFFFF"/>
      <x:name val="Carlito"/>
    </x:font>
    <x:font>
      <x:b/>
      <x:sz val="18"/>
      <x:color rgb="FFFFFFFF"/>
      <x:name val="Noto Sans CJK SC"/>
    </x:font>
    <x:font>
      <x:sz val="10"/>
      <x:color rgb="FF166A6C"/>
      <x:name val="Noto Sans CJK SC"/>
    </x:font>
    <x:font>
      <x:b/>
      <x:sz val="11"/>
      <x:color rgb="FFFFFFFF"/>
      <x:name val="Noto Sans CJK SC"/>
    </x:font>
    <x:font>
      <x:sz val="10"/>
      <x:color rgb="FF243746"/>
      <x:name val="Noto Sans CJK SC"/>
    </x:font>
  </x:fonts>
  <x:fills count="12">
    <x:fill>
      <x:patternFill patternType="none"/>
    </x:fill>
    <x:fill>
      <x:patternFill patternType="gray125"/>
    </x:fill>
    <x:fill>
      <x:patternFill patternType="solid">
        <x:fgColor rgb="FF163044"/>
      </x:patternFill>
    </x:fill>
    <x:fill>
      <x:patternFill patternType="solid">
        <x:fgColor rgb="FF146B6B"/>
      </x:patternFill>
    </x:fill>
    <x:fill>
      <x:patternFill patternType="solid">
        <x:fgColor rgb="FFF4F7FA"/>
      </x:patternFill>
    </x:fill>
    <x:fill>
      <x:patternFill patternType="solid">
        <x:fgColor rgb="FFEAF3F3"/>
      </x:patternFill>
    </x:fill>
    <x:fill>
      <x:patternFill patternType="solid">
        <x:fgColor rgb="FFFFFFFF"/>
      </x:patternFill>
    </x:fill>
    <x:fill>
      <x:patternFill patternType="solid">
        <x:fgColor rgb="FF243746"/>
      </x:patternFill>
    </x:fill>
    <x:fill>
      <x:patternFill patternType="solid">
        <x:fgColor rgb="FFE8F2F1"/>
      </x:patternFill>
    </x:fill>
    <x:fill>
      <x:patternFill patternType="solid">
        <x:fgColor rgb="FFF3F6F8"/>
      </x:patternFill>
    </x:fill>
    <x:fill>
      <x:patternFill patternType="solid">
        <x:fgColor rgb="FFE9F3F3"/>
      </x:patternFill>
    </x:fill>
    <x:fill>
      <x:patternFill patternType="solid">
        <x:fgColor rgb="FF166A6C"/>
      </x:patternFill>
    </x:fill>
  </x:fills>
  <x:borders count="2">
    <x:border/>
    <x:border/>
  </x:borders>
  <x:cellStyleXfs count="1">
    <x:xf numFmtId="0" fontId="0" fillId="0" borderId="0"/>
  </x:cellStyleXfs>
  <x:cellXfs count="13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4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200" fontId="5" fillId="4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4" borderId="1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201" fontId="5" fillId="4" borderId="0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 wrapText="1"/>
    </x:xf>
    <x:xf numFmtId="201" fontId="5" fillId="4" borderId="1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1" fillId="5" borderId="0" xfId="0" applyNumberFormat="1" applyFont="1" applyFill="1" applyBorder="1"/>
    <x:xf numFmtId="0" fontId="7" fillId="5" borderId="0" xfId="0" applyNumberFormat="1" applyFont="1" applyFill="1" applyBorder="1"/>
    <x:xf numFmtId="0" fontId="1" fillId="5" borderId="1" xfId="0" applyNumberFormat="1" applyFont="1" applyFill="1" applyBorder="1"/>
    <x:xf numFmtId="0" fontId="7" fillId="5" borderId="1" xfId="0" applyNumberFormat="1" applyFont="1" applyFill="1" applyBorder="1"/>
    <x:xf numFmtId="201" fontId="7" fillId="5" borderId="0" xfId="0" applyNumberFormat="1" applyFont="1" applyFill="1" applyBorder="1"/>
    <x:xf numFmtId="201" fontId="7" fillId="5" borderId="1" xfId="0" applyNumberFormat="1" applyFont="1" applyFill="1" applyBorder="1"/>
    <x:xf numFmtId="202" fontId="1" fillId="0" borderId="0" xfId="0" applyNumberFormat="1" applyFont="1" applyFill="1" applyBorder="1"/>
    <x:xf numFmtId="202" fontId="1" fillId="0" borderId="1" xfId="0" applyNumberFormat="1" applyFont="1" applyFill="1" applyBorder="1"/>
    <x:xf numFmtId="202" fontId="1" fillId="4" borderId="0" xfId="0" applyNumberFormat="1" applyFont="1" applyFill="1" applyBorder="1"/>
    <x:xf numFmtId="202" fontId="8" fillId="4" borderId="0" xfId="0" applyNumberFormat="1" applyFont="1" applyFill="1" applyBorder="1"/>
    <x:xf numFmtId="202" fontId="1" fillId="4" borderId="1" xfId="0" applyNumberFormat="1" applyFont="1" applyFill="1" applyBorder="1"/>
    <x:xf numFmtId="202" fontId="8" fillId="4" borderId="1" xfId="0" applyNumberFormat="1" applyFont="1" applyFill="1" applyBorder="1"/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0" fontId="1" fillId="4" borderId="0" xfId="0" applyNumberFormat="1" applyFont="1" applyFill="1" applyBorder="1"/>
    <x:xf numFmtId="200" fontId="8" fillId="4" borderId="0" xfId="0" applyNumberFormat="1" applyFont="1" applyFill="1" applyBorder="1"/>
    <x:xf numFmtId="200" fontId="1" fillId="4" borderId="1" xfId="0" applyNumberFormat="1" applyFont="1" applyFill="1" applyBorder="1"/>
    <x:xf numFmtId="200" fontId="8" fillId="4" borderId="1" xfId="0" applyNumberFormat="1" applyFont="1" applyFill="1" applyBorder="1"/>
    <x:xf numFmtId="203" fontId="1" fillId="0" borderId="0" xfId="0" applyNumberFormat="1" applyFont="1" applyFill="1" applyBorder="1"/>
    <x:xf numFmtId="203" fontId="1" fillId="0" borderId="1" xfId="0" applyNumberFormat="1" applyFont="1" applyFill="1" applyBorder="1"/>
    <x:xf numFmtId="203" fontId="1" fillId="4" borderId="0" xfId="0" applyNumberFormat="1" applyFont="1" applyFill="1" applyBorder="1"/>
    <x:xf numFmtId="203" fontId="8" fillId="4" borderId="0" xfId="0" applyNumberFormat="1" applyFont="1" applyFill="1" applyBorder="1"/>
    <x:xf numFmtId="203" fontId="1" fillId="4" borderId="1" xfId="0" applyNumberFormat="1" applyFont="1" applyFill="1" applyBorder="1"/>
    <x:xf numFmtId="203" fontId="8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vertical="center" wrapText="1"/>
    </x:xf>
    <x:xf numFmtId="200" fontId="1" fillId="4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203" fontId="1" fillId="4" borderId="0" xfId="0" applyNumberFormat="1" applyFont="1" applyFill="1" applyBorder="1" applyAlignment="1">
      <x:alignment vertical="center" wrapText="1"/>
    </x:xf>
    <x:xf numFmtId="203" fontId="1" fillId="6" borderId="0" xfId="0" applyNumberFormat="1" applyFont="1" applyFill="1" applyBorder="1" applyAlignment="1">
      <x:alignment vertical="center" wrapText="1"/>
    </x:xf>
    <x:xf numFmtId="203" fontId="1" fillId="4" borderId="1" xfId="0" applyNumberFormat="1" applyFont="1" applyFill="1" applyBorder="1" applyAlignment="1">
      <x:alignment vertical="center" wrapText="1"/>
    </x:xf>
    <x:xf numFmtId="203" fontId="1" fillId="6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vertical="center" wrapText="1"/>
    </x:xf>
    <x:xf numFmtId="203" fontId="1" fillId="4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203" fontId="1" fillId="4" borderId="1" xfId="0" applyNumberFormat="1" applyFont="1" applyFill="1" applyBorder="1" applyAlignment="1">
      <x:alignment vertical="top" wrapText="1"/>
    </x:xf>
    <x:xf numFmtId="203" fontId="1" fillId="0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4" borderId="1" xfId="0" applyNumberFormat="1" applyFont="1" applyFill="1" applyBorder="1" applyAlignment="1">
      <x:alignment horizontal="center" vertical="top" wrapText="1"/>
    </x:xf>
    <x:xf numFmtId="0" fontId="1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0" fontId="10" fillId="8" borderId="0" xfId="0" applyNumberFormat="1" applyFont="1" applyFill="1" applyBorder="1" applyAlignment="1">
      <x:alignment vertical="center" wrapText="1"/>
    </x:xf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wrapText="1"/>
    </x:xf>
    <x:xf numFmtId="0" fontId="11" fillId="7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0" fontId="6" fillId="7" borderId="0" xfId="0" applyNumberFormat="1" applyFont="1" applyFill="1" applyBorder="1"/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/>
    <x:xf numFmtId="0" fontId="13" fillId="10" borderId="0" xfId="0" applyNumberFormat="1" applyFont="1" applyFill="1" applyBorder="1"/>
    <x:xf numFmtId="0" fontId="13" fillId="10" borderId="0" xfId="0" applyNumberFormat="1" applyFont="1" applyFill="1" applyBorder="1" applyAlignment="1">
      <x:alignment wrapText="1"/>
    </x:xf>
    <x:xf numFmtId="0" fontId="4" fillId="11" borderId="0" xfId="0" applyNumberFormat="1" applyFont="1" applyFill="1" applyBorder="1"/>
    <x:xf numFmtId="0" fontId="14" fillId="11" borderId="0" xfId="0" applyNumberFormat="1" applyFont="1" applyFill="1" applyBorder="1"/>
    <x:xf numFmtId="0" fontId="14" fillId="11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  <x:xf numFmtId="0" fontId="15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vertical="center" wrapText="1"/>
    </x:xf>
    <x:xf numFmtId="0" fontId="13" fillId="1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ont>
        <x:color rgb="FFA32D28"/>
      </x:font>
      <x:fill>
        <x:patternFill>
          <x:bgColor rgb="FFFBE8E6"/>
        </x:patternFill>
      </x:fill>
    </x:dxf>
    <x:dxf>
      <x:fill>
        <x:patternFill>
          <x:bgColor rgb="FFFFF0CD"/>
        </x:patternFill>
      </x:fill>
    </x:dxf>
    <x:dxf>
      <x:fill>
        <x:patternFill>
          <x:bgColor rgb="FFFFF0CD"/>
        </x:patternFill>
      </x:fill>
    </x:dxf>
    <x:dxf>
      <x:font>
        <x:b/>
        <x:color rgb="FF146B6B"/>
      </x:font>
      <x:fill>
        <x:patternFill>
          <x:bgColor rgb="FFB8DCDC"/>
        </x:patternFill>
      </x:fill>
    </x:dxf>
    <x:dxf>
      <x:font>
        <x:color rgb="FFA32D28"/>
      </x:font>
      <x:fill>
        <x:patternFill>
          <x:bgColor rgb="FFFBE8E6"/>
        </x:patternFill>
      </x:fill>
    </x:dxf>
    <x:dxf>
      <x:font>
        <x:color rgb="FFA32D28"/>
      </x:font>
      <x:fill>
        <x:patternFill>
          <x:bgColor rgb="FFFBE8E6"/>
        </x:patternFill>
      </x:fill>
    </x:dxf>
    <x:dxf>
      <x:font>
        <x:color rgb="FFA32D28"/>
      </x:font>
      <x:fill>
        <x:patternFill>
          <x:bgColor rgb="FFFB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cb7e2eb77f4b6e" /><Relationship Type="http://schemas.openxmlformats.org/officeDocument/2006/relationships/theme" Target="/xl/theme/theme1.xml" Id="Ref9eaccf313c4fe0" /><Relationship Type="http://schemas.openxmlformats.org/officeDocument/2006/relationships/sharedStrings" Target="/xl/sharedStrings.xml" Id="R0cda35861c1541ff" /><Relationship Type="http://schemas.openxmlformats.org/officeDocument/2006/relationships/worksheet" Target="/xl/worksheets/sheet1.xml" Id="Ra7f5fcfdd0664af1" /><Relationship Type="http://schemas.openxmlformats.org/officeDocument/2006/relationships/worksheet" Target="/xl/worksheets/sheet2.xml" Id="R554e9b87bcb347ce" /><Relationship Type="http://schemas.openxmlformats.org/officeDocument/2006/relationships/worksheet" Target="/xl/worksheets/sheet3.xml" Id="R7115c1da49a24d19" /><Relationship Type="http://schemas.openxmlformats.org/officeDocument/2006/relationships/worksheet" Target="/xl/worksheets/sheet4.xml" Id="R1bdfb2c7002149f1" /><Relationship Type="http://schemas.openxmlformats.org/officeDocument/2006/relationships/worksheet" Target="/xl/worksheets/sheet5.xml" Id="R9106d477e2b14f17" /><Relationship Type="http://schemas.openxmlformats.org/officeDocument/2006/relationships/worksheet" Target="/xl/worksheets/sheet6.xml" Id="Rf4cf6a659ae14215" /><Relationship Type="http://schemas.openxmlformats.org/officeDocument/2006/relationships/worksheet" Target="/xl/worksheets/sheet7.xml" Id="Rc84504715db54953" /><Relationship Type="http://schemas.openxmlformats.org/officeDocument/2006/relationships/worksheet" Target="/xl/worksheets/sheet8.xml" Id="Re5049e32bade4b31" /><Relationship Type="http://schemas.openxmlformats.org/officeDocument/2006/relationships/worksheet" Target="/xl/worksheets/sheet9.xml" Id="R8ed91900dfd74a36" /><Relationship Type="http://schemas.openxmlformats.org/officeDocument/2006/relationships/worksheet" Target="/xl/worksheets/sheet10.xml" Id="Rb6bed9ae49bb4e08" /><Relationship Type="http://schemas.openxmlformats.org/officeDocument/2006/relationships/worksheet" Target="/xl/worksheets/sheet11.xml" Id="R7d445ab6f3764c45" /><Relationship Type="http://schemas.openxmlformats.org/officeDocument/2006/relationships/worksheet" Target="/xl/worksheets/sheet12.xml" Id="Rc264a139d44b43e5" /></Relationships>
</file>

<file path=xl/tables/table1.xml><?xml version="1.0" encoding="utf-8"?>
<x:table xmlns:x="http://schemas.openxmlformats.org/spreadsheetml/2006/main" id="1" name="Tbl1" displayName="Tbl1" ref="A5:R97" headerRowCount="1" totalsRowCount="0" totalsRowShown="0">
  <x:tableColumns count="18">
    <x:tableColumn id="1" name="任务ID"/>
    <x:tableColumn id="2" name="阶段"/>
    <x:tableColumn id="3" name="工作包"/>
    <x:tableColumn id="4" name="主角色"/>
    <x:tableColumn id="5" name="优先级"/>
    <x:tableColumn id="6" name="开始周"/>
    <x:tableColumn id="7" name="结束周"/>
    <x:tableColumn id="8" name="基础人日"/>
    <x:tableColumn id="9" name="含缓冲人日"/>
    <x:tableColumn id="10" name="依赖ID"/>
    <x:tableColumn id="11" name="交付物"/>
    <x:tableColumn id="12" name="验收条件"/>
    <x:tableColumn id="13" name="需求引用"/>
    <x:tableColumn id="14" name="设计引用"/>
    <x:tableColumn id="15" name="状态"/>
    <x:tableColumn id="16" name="完成率"/>
    <x:tableColumn id="17" name="挣值人日"/>
    <x:tableColumn id="18" name="证据/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2" displayName="Tbl2" ref="A5:AD11" headerRowCount="1" totalsRowCount="0" totalsRowShown="0">
  <x:tableColumns count="30">
    <x:tableColumn id="1" name="阶段"/>
    <x:tableColumn id="2" name="名称"/>
    <x:tableColumn id="3" name="开始周"/>
    <x:tableColumn id="4" name="结束周"/>
    <x:tableColumn id="5" name="周数"/>
    <x:tableColumn id="6" name="Gate"/>
    <x:tableColumn id="7" name="基础人日"/>
    <x:tableColumn id="8" name="含缓冲"/>
    <x:tableColumn id="9" name="总容量"/>
    <x:tableColumn id="10" name="总负载"/>
    <x:tableColumn id="11" name="1"/>
    <x:tableColumn id="12" name="2"/>
    <x:tableColumn id="13" name="3"/>
    <x:tableColumn id="14" name="4"/>
    <x:tableColumn id="15" name="5"/>
    <x:tableColumn id="16" name="6"/>
    <x:tableColumn id="17" name="7"/>
    <x:tableColumn id="18" name="8"/>
    <x:tableColumn id="19" name="9"/>
    <x:tableColumn id="20" name="10"/>
    <x:tableColumn id="21" name="11"/>
    <x:tableColumn id="22" name="12"/>
    <x:tableColumn id="23" name="13"/>
    <x:tableColumn id="24" name="14"/>
    <x:tableColumn id="25" name="15"/>
    <x:tableColumn id="26" name="16"/>
    <x:tableColumn id="27" name="17"/>
    <x:tableColumn id="28" name="18"/>
    <x:tableColumn id="29" name="19"/>
    <x:tableColumn id="30" name="20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3" displayName="Tbl3" ref="A5:J41" headerRowCount="1" totalsRowCount="0" totalsRowShown="0">
  <x:tableColumns count="10">
    <x:tableColumn id="1" name="阶段"/>
    <x:tableColumn id="2" name="角色"/>
    <x:tableColumn id="3" name="角色FTE"/>
    <x:tableColumn id="4" name="阶段周数"/>
    <x:tableColumn id="5" name="基础人日"/>
    <x:tableColumn id="6" name="含缓冲"/>
    <x:tableColumn id="7" name="有效容量"/>
    <x:tableColumn id="8" name="计划负载"/>
    <x:tableColumn id="9" name="容量余量"/>
    <x:tableColumn id="10" name="容量提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4" displayName="Tbl4" ref="A5:I45" headerRowCount="1" totalsRowCount="0" totalsRowShown="0">
  <x:tableColumns count="9">
    <x:tableColumn id="1" name="需求ID"/>
    <x:tableColumn id="2" name="能力"/>
    <x:tableColumn id="3" name="验收描述"/>
    <x:tableColumn id="4" name="优先级"/>
    <x:tableColumn id="5" name="阶段"/>
    <x:tableColumn id="6" name="设计章节"/>
    <x:tableColumn id="7" name="测试编号"/>
    <x:tableColumn id="8" name="状态"/>
    <x:tableColumn id="9" name="责任人/证据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5" displayName="Tbl5" ref="A5:H53" headerRowCount="1" totalsRowCount="0" totalsRowShown="0">
  <x:tableColumns count="8">
    <x:tableColumn id="1" name="测试ID"/>
    <x:tableColumn id="2" name="主题"/>
    <x:tableColumn id="3" name="可验证预期"/>
    <x:tableColumn id="4" name="测试类型"/>
    <x:tableColumn id="5" name="结果"/>
    <x:tableColumn id="6" name="执行版本/环境"/>
    <x:tableColumn id="7" name="证据地址"/>
    <x:tableColumn id="8" name="问题/备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6" displayName="Tbl6" ref="A5:K23" headerRowCount="1" totalsRowCount="0" totalsRowShown="0">
  <x:tableColumns count="11">
    <x:tableColumn id="1" name="风险ID"/>
    <x:tableColumn id="2" name="风险"/>
    <x:tableColumn id="3" name="概率"/>
    <x:tableColumn id="4" name="影响"/>
    <x:tableColumn id="5" name="分值"/>
    <x:tableColumn id="6" name="责任角色"/>
    <x:tableColumn id="7" name="首次阶段"/>
    <x:tableColumn id="8" name="缓解措施"/>
    <x:tableColumn id="9" name="触发信号"/>
    <x:tableColumn id="10" name="状态"/>
    <x:tableColumn id="11" name="处置证据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7" displayName="Tbl7" ref="A5:I25" headerRowCount="1" totalsRowCount="0" totalsRowShown="0">
  <x:tableColumns count="9">
    <x:tableColumn id="1" name="ADR编号"/>
    <x:tableColumn id="2" name="建议决策"/>
    <x:tableColumn id="3" name="理由"/>
    <x:tableColumn id="4" name="复议触发"/>
    <x:tableColumn id="5" name="确认阶段"/>
    <x:tableColumn id="6" name="设计章节"/>
    <x:tableColumn id="7" name="状态"/>
    <x:tableColumn id="8" name="批准人/日期"/>
    <x:tableColumn id="9" name="后续决定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8" displayName="Tbl8" ref="A5:I35" headerRowCount="1" totalsRowCount="0" totalsRowShown="0">
  <x:tableColumns count="9">
    <x:tableColumn id="1" name="检查ID"/>
    <x:tableColumn id="2" name="类别"/>
    <x:tableColumn id="3" name="放行条件"/>
    <x:tableColumn id="4" name="责任角色"/>
    <x:tableColumn id="5" name="门禁"/>
    <x:tableColumn id="6" name="适用性"/>
    <x:tableColumn id="7" name="结果"/>
    <x:tableColumn id="8" name="证据"/>
    <x:tableColumn id="9" name="批准/备注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9" displayName="Tbl9" ref="A5:E40" headerRowCount="1" totalsRowCount="0" totalsRowShown="0">
  <x:tableColumns count="5">
    <x:tableColumn id="1" name="来源ID"/>
    <x:tableColumn id="2" name="官方资料"/>
    <x:tableColumn id="3" name="URL"/>
    <x:tableColumn id="4" name="用途"/>
    <x:tableColumn id="5" name="核验日期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DDDContexts" displayName="TblDDDContexts" ref="A5:J13" headerRowCount="1" totalsRowCount="0" totalsRowShown="0">
  <x:tableColumns count="10">
    <x:tableColumn id="1" name="ID"/>
    <x:tableColumn id="2" name="代码名"/>
    <x:tableColumn id="3" name="上下文"/>
    <x:tableColumn id="4" name="聚合／主数据"/>
    <x:tableColumn id="5" name="职责"/>
    <x:tableColumn id="6" name="责任角色"/>
    <x:tableColumn id="7" name="公开输出"/>
    <x:tableColumn id="8" name="关键边界"/>
    <x:tableColumn id="9" name="状态"/>
    <x:tableColumn id="10" name="实际负责人／证据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GovernanceRules" displayName="TblGovernanceRules" ref="A5:J21" headerRowCount="1" totalsRowCount="0" totalsRowShown="0">
  <x:tableColumns count="10">
    <x:tableColumn id="1" name="规则ID"/>
    <x:tableColumn id="2" name="主题"/>
    <x:tableColumn id="3" name="约束"/>
    <x:tableColumn id="4" name="任务引用"/>
    <x:tableColumn id="5" name="测试引用"/>
    <x:tableColumn id="6" name="责任角色"/>
    <x:tableColumn id="7" name="Gate"/>
    <x:tableColumn id="8" name="验收方式"/>
    <x:tableColumn id="9" name="状态"/>
    <x:tableColumn id="10" name="证据／例外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ea3e8b4bd941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2f1e7754f944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e01920b829b47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26cdc6c4d3444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d9301509c994b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ecbf85dcaa1474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9f458ca68464d5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d6a12869ab34ee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863aa3963f74a8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b2517868c74475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a332f162b8a4450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27" customHeight="1">
      <x:c r="A1" s="122" t="str">
        <x:v>MCPX  /  实施管理工作台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</x:row>
    <x:row r="2" ht="27" customHeight="1">
      <x:c r="A2" s="122"/>
      <x:c r="B2" s="122"/>
      <x:c r="C2" s="122"/>
      <x:c r="D2" s="122"/>
      <x:c r="E2" s="122"/>
      <x:c r="F2" s="122"/>
      <x:c r="G2" s="122"/>
      <x:c r="H2" s="122"/>
      <x:c r="I2" s="122"/>
      <x:c r="J2" s="122"/>
      <x:c r="K2" s="122"/>
      <x:c r="L2" s="122"/>
    </x:row>
    <x:row r="3" ht="36" customHeight="1">
      <x:c r="A3" s="125" t="str">
        <x:v>基线 v1.1 · pnpm / DDD / 清洁架构 / 依赖倒置 · 原工时待 G0 重估</x:v>
      </x:c>
      <x:c r="B3" s="125"/>
      <x:c r="C3" s="125"/>
      <x:c r="D3" s="125"/>
      <x:c r="E3" s="125"/>
      <x:c r="F3" s="125"/>
      <x:c r="G3" s="125"/>
      <x:c r="H3" s="125"/>
      <x:c r="I3" s="125"/>
      <x:c r="J3" s="125"/>
      <x:c r="K3" s="125"/>
      <x:c r="L3" s="125"/>
    </x:row>
    <x:row r="4" ht="27" customHeight="1">
      <x:c r="A4" s="15" t="str">
        <x:v>规划输入（蓝色可改）</x:v>
      </x:c>
      <x:c r="B4" s="15"/>
      <x:c r="C4" s="15"/>
      <x:c r="D4" s="15"/>
      <x:c r="E4" s="15"/>
      <x:c r="F4" s="15"/>
      <x:c r="G4" s="128" t="str">
        <x:v>任务与容量汇总</x:v>
      </x:c>
      <x:c r="H4" s="128"/>
      <x:c r="I4" s="128"/>
      <x:c r="J4" s="128"/>
      <x:c r="K4" s="128"/>
      <x:c r="L4" s="128"/>
    </x:row>
    <x:row r="5" ht="26" customHeight="1">
      <x:c r="A5" s="2" t="str">
        <x:v>计划周数</x:v>
      </x:c>
      <x:c r="B5" s="2"/>
      <x:c r="C5" s="2"/>
      <x:c r="D5" s="2"/>
      <x:c r="E5" s="47" t="n">
        <x:v>20</x:v>
      </x:c>
      <x:c r="F5" s="47"/>
      <x:c r="G5" s="2" t="str">
        <x:v>工作包数量</x:v>
      </x:c>
      <x:c r="H5" s="2"/>
      <x:c r="I5" s="2"/>
      <x:c r="J5" s="2"/>
      <x:c r="K5" s="55" t="n">
        <x:f>COUNTA('WBS'!$A$6:$A$505)</x:f>
        <x:v>92</x:v>
      </x:c>
      <x:c r="L5" s="55"/>
    </x:row>
    <x:row r="6" ht="26" customHeight="1">
      <x:c r="A6" s="2" t="str">
        <x:v>每周工作日</x:v>
      </x:c>
      <x:c r="B6" s="2"/>
      <x:c r="C6" s="2"/>
      <x:c r="D6" s="2"/>
      <x:c r="E6" s="47" t="n">
        <x:v>5</x:v>
      </x:c>
      <x:c r="F6" s="47"/>
      <x:c r="G6" s="2" t="str">
        <x:v>基础工作量（人日）</x:v>
      </x:c>
      <x:c r="H6" s="2"/>
      <x:c r="I6" s="2"/>
      <x:c r="J6" s="2"/>
      <x:c r="K6" s="61" t="n">
        <x:f>SUM('WBS'!$H$6:$H$505)</x:f>
        <x:v>261.25</x:v>
      </x:c>
      <x:c r="L6" s="61"/>
    </x:row>
    <x:row r="7" ht="26" customHeight="1">
      <x:c r="A7" s="2" t="str">
        <x:v>有效投入比例</x:v>
      </x:c>
      <x:c r="B7" s="2"/>
      <x:c r="C7" s="2"/>
      <x:c r="D7" s="2"/>
      <x:c r="E7" s="50" t="n">
        <x:v>0.8</x:v>
      </x:c>
      <x:c r="F7" s="47"/>
      <x:c r="G7" s="2" t="str">
        <x:v>含缓冲工作量（人日）</x:v>
      </x:c>
      <x:c r="H7" s="2"/>
      <x:c r="I7" s="2"/>
      <x:c r="J7" s="2"/>
      <x:c r="K7" s="61" t="n">
        <x:f>K6*(1+$E$8)</x:f>
        <x:v>300.4375</x:v>
      </x:c>
      <x:c r="L7" s="61"/>
    </x:row>
    <x:row r="8" ht="26" customHeight="1">
      <x:c r="A8" s="2" t="str">
        <x:v>任务风险缓冲</x:v>
      </x:c>
      <x:c r="B8" s="2"/>
      <x:c r="C8" s="2"/>
      <x:c r="D8" s="2"/>
      <x:c r="E8" s="50" t="n">
        <x:v>0.15</x:v>
      </x:c>
      <x:c r="F8" s="47"/>
      <x:c r="G8" s="2" t="str">
        <x:v>有效容量（人日）</x:v>
      </x:c>
      <x:c r="H8" s="2"/>
      <x:c r="I8" s="2"/>
      <x:c r="J8" s="2"/>
      <x:c r="K8" s="61" t="n">
        <x:f>SUM($C$16:$C$21)*$E$5*$E$6*$E$7</x:f>
        <x:v>400</x:v>
      </x:c>
      <x:c r="L8" s="61"/>
    </x:row>
    <x:row r="9" ht="26" customHeight="1">
      <x:c r="A9" s="2" t="str">
        <x:v>当前相对周</x:v>
      </x:c>
      <x:c r="B9" s="2"/>
      <x:c r="C9" s="2"/>
      <x:c r="D9" s="2"/>
      <x:c r="E9" s="47" t="n">
        <x:v>1</x:v>
      </x:c>
      <x:c r="F9" s="47"/>
      <x:c r="G9" s="2" t="str">
        <x:v>总体计划负载</x:v>
      </x:c>
      <x:c r="H9" s="2"/>
      <x:c r="I9" s="2"/>
      <x:c r="J9" s="2"/>
      <x:c r="K9" s="67" t="n">
        <x:f>IFERROR(K7/K8,0)</x:f>
        <x:v>0.75109375</x:v>
      </x:c>
      <x:c r="L9" s="67"/>
    </x:row>
    <x:row r="10" ht="26" customHeight="1">
      <x:c r="A10" s="2" t="str">
        <x:v>实际启动日期</x:v>
      </x:c>
      <x:c r="B10" s="2"/>
      <x:c r="C10" s="2"/>
      <x:c r="D10" s="2"/>
      <x:c r="E10" s="47" t="str">
        <x:v>待确认</x:v>
      </x:c>
      <x:c r="F10" s="47"/>
      <x:c r="G10" s="2" t="str">
        <x:v>加权完成率</x:v>
      </x:c>
      <x:c r="H10" s="2"/>
      <x:c r="I10" s="2"/>
      <x:c r="J10" s="2"/>
      <x:c r="K10" s="67" t="n">
        <x:f>IFERROR(SUM('WBS'!$Q$6:$Q$505)/K6,0)</x:f>
        <x:v>0</x:v>
      </x:c>
      <x:c r="L10" s="67"/>
    </x:row>
    <x:row r="11">
      <x:c r="A11" s="2"/>
      <x:c r="B11" s="2"/>
      <x:c r="C11" s="2"/>
      <x:c r="D11" s="2"/>
      <x:c r="E11" s="2"/>
      <x:c r="F11" s="2"/>
      <x:c r="G11" s="2" t="str">
        <x:v>阻塞工作包</x:v>
      </x:c>
      <x:c r="H11" s="2"/>
      <x:c r="I11" s="2"/>
      <x:c r="J11" s="2"/>
      <x:c r="K11" s="55" t="n">
        <x:f>COUNTIF('WBS'!$O$6:$O$505,"阻塞")</x:f>
        <x:v>0</x:v>
      </x:c>
      <x:c r="L11" s="55"/>
    </x:row>
    <x:row r="12" ht="24" customHeight="1">
      <x:c r="A12" s="130" t="str">
        <x:v>v1.1 强化 20 个原任务，保留原估算待 G0 校准；未提供既有代码，未估迁移工时。任务数不变不表示实施成本不变。治理表不重复计人日。</x:v>
      </x:c>
      <x:c r="B12" s="130"/>
      <x:c r="C12" s="130"/>
      <x:c r="D12" s="130"/>
      <x:c r="E12" s="130"/>
      <x:c r="F12" s="130"/>
      <x:c r="G12" s="130"/>
      <x:c r="H12" s="130"/>
      <x:c r="I12" s="130"/>
      <x:c r="J12" s="130"/>
      <x:c r="K12" s="130"/>
      <x:c r="L12" s="130"/>
    </x:row>
    <x:row r="13" ht="24" customHeight="1">
      <x:c r="A13" s="130"/>
      <x:c r="B13" s="130"/>
      <x:c r="C13" s="130"/>
      <x:c r="D13" s="130"/>
      <x:c r="E13" s="130"/>
      <x:c r="F13" s="130"/>
      <x:c r="G13" s="130"/>
      <x:c r="H13" s="130"/>
      <x:c r="I13" s="130"/>
      <x:c r="J13" s="130"/>
      <x:c r="K13" s="130"/>
      <x:c r="L13" s="130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32" customHeight="1">
      <x:c r="A15" s="16" t="str">
        <x:v>角色</x:v>
      </x:c>
      <x:c r="B15" s="16" t="str">
        <x:v>责任简称</x:v>
      </x:c>
      <x:c r="C15" s="16" t="str">
        <x:v>FTE</x:v>
      </x:c>
      <x:c r="D15" s="16" t="str">
        <x:v>基础人日</x:v>
      </x:c>
      <x:c r="E15" s="16" t="str">
        <x:v>含缓冲人日</x:v>
      </x:c>
      <x:c r="F15" s="16" t="str">
        <x:v>有效容量</x:v>
      </x:c>
      <x:c r="G15" s="16" t="str">
        <x:v>计划负载</x:v>
      </x:c>
      <x:c r="H15" s="16" t="str">
        <x:v>容量余量</x:v>
      </x:c>
      <x:c r="I15" s="15" t="str">
        <x:v>阶段放行点</x:v>
      </x:c>
      <x:c r="J15" s="15"/>
      <x:c r="K15" s="15"/>
      <x:c r="L15" s="15"/>
    </x:row>
    <x:row r="16" ht="37" customHeight="1">
      <x:c r="A16" s="72" t="str">
        <x:v>BE-A</x:v>
      </x:c>
      <x:c r="B16" s="72" t="str">
        <x:v>后端／技术负责人</x:v>
      </x:c>
      <x:c r="C16" s="82" t="n">
        <x:v>1</x:v>
      </x:c>
      <x:c r="D16" s="86" t="n">
        <x:f>SUMIF('WBS'!$D$6:$D$505,A16,'WBS'!$H$6:$H$505)</x:f>
        <x:v>57</x:v>
      </x:c>
      <x:c r="E16" s="86" t="n">
        <x:f>D16*(1+$E$8)</x:f>
        <x:v>65.55</x:v>
      </x:c>
      <x:c r="F16" s="86" t="n">
        <x:f>C16*$E$5*$E$6*$E$7</x:f>
        <x:v>80</x:v>
      </x:c>
      <x:c r="G16" s="90" t="n">
        <x:f>IFERROR(E16/F16,0)</x:f>
        <x:v>0.819375</x:v>
      </x:c>
      <x:c r="H16" s="86" t="n">
        <x:f>F16-E16</x:f>
        <x:v>14.450000000000003</x:v>
      </x:c>
      <x:c r="I16" s="95" t="str">
        <x:v>G0 / W2  范围冻结与高风险验证</x:v>
      </x:c>
      <x:c r="J16" s="95"/>
      <x:c r="K16" s="95"/>
      <x:c r="L16" s="95"/>
    </x:row>
    <x:row r="17" ht="37" customHeight="1">
      <x:c r="A17" s="78" t="str">
        <x:v>BE-B</x:v>
      </x:c>
      <x:c r="B17" s="78" t="str">
        <x:v>后端／集成执行</x:v>
      </x:c>
      <x:c r="C17" s="83" t="n">
        <x:v>1</x:v>
      </x:c>
      <x:c r="D17" s="87" t="n">
        <x:f>SUMIF('WBS'!$D$6:$D$505,A17,'WBS'!$H$6:$H$505)</x:f>
        <x:v>58</x:v>
      </x:c>
      <x:c r="E17" s="87" t="n">
        <x:f>D17*(1+$E$8)</x:f>
        <x:v>66.69999999999999</x:v>
      </x:c>
      <x:c r="F17" s="87" t="n">
        <x:f>C17*$E$5*$E$6*$E$7</x:f>
        <x:v>80</x:v>
      </x:c>
      <x:c r="G17" s="91" t="n">
        <x:f>IFERROR(E17/F17,0)</x:f>
        <x:v>0.8337499999999999</x:v>
      </x:c>
      <x:c r="H17" s="87" t="n">
        <x:f>F17-E17</x:f>
        <x:v>13.300000000000011</x:v>
      </x:c>
      <x:c r="I17" s="95" t="str">
        <x:v>G1 / W5  工程底座与租户控制台</x:v>
      </x:c>
      <x:c r="J17" s="95"/>
      <x:c r="K17" s="95"/>
      <x:c r="L17" s="95"/>
    </x:row>
    <x:row r="18" ht="37" customHeight="1">
      <x:c r="A18" s="72" t="str">
        <x:v>FE</x:v>
      </x:c>
      <x:c r="B18" s="72" t="str">
        <x:v>前端工程师</x:v>
      </x:c>
      <x:c r="C18" s="82" t="n">
        <x:v>1</x:v>
      </x:c>
      <x:c r="D18" s="86" t="n">
        <x:f>SUMIF('WBS'!$D$6:$D$505,A18,'WBS'!$H$6:$H$505)</x:f>
        <x:v>56</x:v>
      </x:c>
      <x:c r="E18" s="86" t="n">
        <x:f>D18*(1+$E$8)</x:f>
        <x:v>64.39999999999999</x:v>
      </x:c>
      <x:c r="F18" s="86" t="n">
        <x:f>C18*$E$5*$E$6*$E$7</x:f>
        <x:v>80</x:v>
      </x:c>
      <x:c r="G18" s="90" t="n">
        <x:f>IFERROR(E18/F18,0)</x:f>
        <x:v>0.8049999999999999</x:v>
      </x:c>
      <x:c r="H18" s="86" t="n">
        <x:f>F18-E18</x:f>
        <x:v>15.600000000000009</x:v>
      </x:c>
      <x:c r="I18" s="95" t="str">
        <x:v>G2 / W9  HTTP 工具与可信执行闭环</x:v>
      </x:c>
      <x:c r="J18" s="95"/>
      <x:c r="K18" s="95"/>
      <x:c r="L18" s="95"/>
    </x:row>
    <x:row r="19" ht="37" customHeight="1">
      <x:c r="A19" s="78" t="str">
        <x:v>QA</x:v>
      </x:c>
      <x:c r="B19" s="78" t="str">
        <x:v>测试工程师</x:v>
      </x:c>
      <x:c r="C19" s="83" t="n">
        <x:v>1</x:v>
      </x:c>
      <x:c r="D19" s="87" t="n">
        <x:f>SUMIF('WBS'!$D$6:$D$505,A19,'WBS'!$H$6:$H$505)</x:f>
        <x:v>49</x:v>
      </x:c>
      <x:c r="E19" s="87" t="n">
        <x:f>D19*(1+$E$8)</x:f>
        <x:v>56.349999999999994</x:v>
      </x:c>
      <x:c r="F19" s="87" t="n">
        <x:f>C19*$E$5*$E$6*$E$7</x:f>
        <x:v>80</x:v>
      </x:c>
      <x:c r="G19" s="91" t="n">
        <x:f>IFERROR(E19/F19,0)</x:f>
        <x:v>0.704375</x:v>
      </x:c>
      <x:c r="H19" s="87" t="n">
        <x:f>F19-E19</x:f>
        <x:v>23.650000000000006</x:v>
      </x:c>
      <x:c r="I19" s="95" t="str">
        <x:v>G3 / W13  MCP 与远程 Agent 集成</x:v>
      </x:c>
      <x:c r="J19" s="95"/>
      <x:c r="K19" s="95"/>
      <x:c r="L19" s="95"/>
    </x:row>
    <x:row r="20" ht="37" customHeight="1">
      <x:c r="A20" s="72" t="str">
        <x:v>SRE</x:v>
      </x:c>
      <x:c r="B20" s="72" t="str">
        <x:v>运维与安全支持</x:v>
      </x:c>
      <x:c r="C20" s="82" t="n">
        <x:v>0.5</x:v>
      </x:c>
      <x:c r="D20" s="86" t="n">
        <x:f>SUMIF('WBS'!$D$6:$D$505,A20,'WBS'!$H$6:$H$505)</x:f>
        <x:v>27</x:v>
      </x:c>
      <x:c r="E20" s="86" t="n">
        <x:f>D20*(1+$E$8)</x:f>
        <x:v>31.049999999999997</x:v>
      </x:c>
      <x:c r="F20" s="86" t="n">
        <x:f>C20*$E$5*$E$6*$E$7</x:f>
        <x:v>40</x:v>
      </x:c>
      <x:c r="G20" s="90" t="n">
        <x:f>IFERROR(E20/F20,0)</x:f>
        <x:v>0.7762499999999999</x:v>
      </x:c>
      <x:c r="H20" s="86" t="n">
        <x:f>F20-E20</x:f>
        <x:v>8.950000000000003</x:v>
      </x:c>
      <x:c r="I20" s="95" t="str">
        <x:v>G4 / W17  发布治理与商业化准备</x:v>
      </x:c>
      <x:c r="J20" s="95"/>
      <x:c r="K20" s="95"/>
      <x:c r="L20" s="95"/>
    </x:row>
    <x:row r="21" ht="37" customHeight="1">
      <x:c r="A21" s="78" t="str">
        <x:v>PM</x:v>
      </x:c>
      <x:c r="B21" s="78" t="str">
        <x:v>产品／项目负责人</x:v>
      </x:c>
      <x:c r="C21" s="83" t="n">
        <x:v>0.5</x:v>
      </x:c>
      <x:c r="D21" s="87" t="n">
        <x:f>SUMIF('WBS'!$D$6:$D$505,A21,'WBS'!$H$6:$H$505)</x:f>
        <x:v>14.25</x:v>
      </x:c>
      <x:c r="E21" s="87" t="n">
        <x:f>D21*(1+$E$8)</x:f>
        <x:v>16.3875</x:v>
      </x:c>
      <x:c r="F21" s="87" t="n">
        <x:f>C21*$E$5*$E$6*$E$7</x:f>
        <x:v>40</x:v>
      </x:c>
      <x:c r="G21" s="91" t="n">
        <x:f>IFERROR(E21/F21,0)</x:f>
        <x:v>0.4096875</x:v>
      </x:c>
      <x:c r="H21" s="87" t="n">
        <x:f>F21-E21</x:f>
        <x:v>23.6125</x:v>
      </x:c>
      <x:c r="I21" s="95" t="str">
        <x:v>G5 / W20  加固、演练与受控上线</x:v>
      </x:c>
      <x:c r="J21" s="95"/>
      <x:c r="K21" s="95"/>
      <x:c r="L21" s="95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32" customHeight="1">
      <x:c r="A23" s="130" t="str">
        <x:v>使用顺序：WBS 更新工作量与证据 → 角色容量检查局部超载 → 测试目录与上线检查记录验收 → Gate 评审。</x:v>
      </x:c>
      <x:c r="B23" s="130"/>
      <x:c r="C23" s="130"/>
      <x:c r="D23" s="130"/>
      <x:c r="E23" s="130"/>
      <x:c r="F23" s="130"/>
      <x:c r="G23" s="130"/>
      <x:c r="H23" s="130"/>
      <x:c r="I23" s="130"/>
      <x:c r="J23" s="130"/>
      <x:c r="K23" s="130"/>
      <x:c r="L23" s="130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4" customHeight="1">
      <x:c r="A25" s="133" t="str">
        <x:v>本台账与三份文档对应。新增 DDD上下文、工程治理两表；40 项需求、48 项测试。所有实施与验收状态均待实际执行，不代表架构门禁已接入 CI。</x:v>
      </x:c>
      <x:c r="B25" s="133"/>
      <x:c r="C25" s="133"/>
      <x:c r="D25" s="133"/>
      <x:c r="E25" s="133"/>
      <x:c r="F25" s="133"/>
      <x:c r="G25" s="133"/>
      <x:c r="H25" s="133"/>
      <x:c r="I25" s="133"/>
      <x:c r="J25" s="133"/>
      <x:c r="K25" s="133"/>
      <x:c r="L25" s="133"/>
    </x:row>
    <x:row r="26" ht="24" customHeight="1">
      <x:c r="A26" s="133"/>
      <x:c r="B26" s="133"/>
      <x:c r="C26" s="133"/>
      <x:c r="D26" s="133"/>
      <x:c r="E26" s="133"/>
      <x:c r="F26" s="133"/>
      <x:c r="G26" s="133"/>
      <x:c r="H26" s="133"/>
      <x:c r="I26" s="133"/>
      <x:c r="J26" s="133"/>
      <x:c r="K26" s="133"/>
      <x:c r="L26" s="133"/>
    </x:row>
    <x:row r="27" ht="19" customHeight="1">
      <x:c r="A27" s="133"/>
      <x:c r="B27" s="133"/>
      <x:c r="C27" s="133"/>
      <x:c r="D27" s="133"/>
      <x:c r="E27" s="133"/>
      <x:c r="F27" s="133"/>
      <x:c r="G27" s="133"/>
      <x:c r="H27" s="133"/>
      <x:c r="I27" s="133"/>
      <x:c r="J27" s="133"/>
      <x:c r="K27" s="133"/>
      <x:c r="L27" s="133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</x:sheetData>
  <x:mergeCells>
    <x:mergeCell ref="A1:L2"/>
    <x:mergeCell ref="A3:L3"/>
    <x:mergeCell ref="A4:F4"/>
    <x:mergeCell ref="G4:L4"/>
    <x:mergeCell ref="A5:D5"/>
    <x:mergeCell ref="E5:F5"/>
    <x:mergeCell ref="A6:D6"/>
    <x:mergeCell ref="E6:F6"/>
    <x:mergeCell ref="A7:D7"/>
    <x:mergeCell ref="E7:F7"/>
    <x:mergeCell ref="A8:D8"/>
    <x:mergeCell ref="E8:F8"/>
    <x:mergeCell ref="A9:D9"/>
    <x:mergeCell ref="E9:F9"/>
    <x:mergeCell ref="A10:D10"/>
    <x:mergeCell ref="E10:F10"/>
    <x:mergeCell ref="G5:J5"/>
    <x:mergeCell ref="K5:L5"/>
    <x:mergeCell ref="G6:J6"/>
    <x:mergeCell ref="K6:L6"/>
    <x:mergeCell ref="G7:J7"/>
    <x:mergeCell ref="K7:L7"/>
    <x:mergeCell ref="G8:J8"/>
    <x:mergeCell ref="K8:L8"/>
    <x:mergeCell ref="G9:J9"/>
    <x:mergeCell ref="K9:L9"/>
    <x:mergeCell ref="G10:J10"/>
    <x:mergeCell ref="K10:L10"/>
    <x:mergeCell ref="G11:J11"/>
    <x:mergeCell ref="K11:L11"/>
    <x:mergeCell ref="A12:L13"/>
    <x:mergeCell ref="I15:L15"/>
    <x:mergeCell ref="I16:L16"/>
    <x:mergeCell ref="I17:L17"/>
    <x:mergeCell ref="I18:L18"/>
    <x:mergeCell ref="I19:L19"/>
    <x:mergeCell ref="I20:L20"/>
    <x:mergeCell ref="I21:L21"/>
    <x:mergeCell ref="A23:L23"/>
    <x:mergeCell ref="A25:L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" hidden="0" customWidth="1"/>
    <x:col min="3" max="3" width="35" hidden="0" customWidth="1"/>
    <x:col min="4" max="4" width="11" hidden="0" customWidth="1"/>
    <x:col min="5" max="5" width="9" hidden="0" customWidth="1"/>
    <x:col min="6" max="6" width="9" hidden="0" customWidth="1"/>
    <x:col min="7" max="7" width="9" hidden="0" customWidth="1"/>
    <x:col min="8" max="8" width="12" hidden="0" customWidth="1"/>
    <x:col min="9" max="9" width="13" hidden="0" customWidth="1"/>
    <x:col min="10" max="10" width="30" hidden="0" customWidth="1"/>
    <x:col min="11" max="11" width="42" hidden="0" customWidth="1"/>
    <x:col min="12" max="12" width="54" hidden="0" customWidth="1"/>
    <x:col min="13" max="13" width="24" hidden="0" customWidth="1"/>
    <x:col min="14" max="14" width="12" hidden="0" customWidth="1"/>
    <x:col min="15" max="15" width="13" hidden="0" customWidth="1"/>
    <x:col min="16" max="16" width="11" hidden="0" customWidth="1"/>
    <x:col min="17" max="17" width="13" hidden="0" customWidth="1"/>
    <x:col min="18" max="18" width="36" hidden="0" customWidth="1"/>
  </x:cols>
  <x:sheetData>
    <x:row r="1" ht="34" customHeight="1">
      <x:c r="A1" s="5" t="str">
        <x:v>MCPX / 详细任务台账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 ht="22" customHeight="1">
      <x:c r="A2" s="10" t="str">
        <x:v>v1.1：20 个原任务加强 pnpm／DDD／依赖门禁。人日暂沿用 v1.0，G0 必须重估；无现有代码，未计迁移。新增实际工作应更新人日／依赖，不只在治理表登记。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</x:row>
    <x:row r="3" ht="22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30" customHeight="1">
      <x:c r="A5" s="17" t="str">
        <x:v>任务ID</x:v>
      </x:c>
      <x:c r="B5" s="17" t="str">
        <x:v>阶段</x:v>
      </x:c>
      <x:c r="C5" s="17" t="str">
        <x:v>工作包</x:v>
      </x:c>
      <x:c r="D5" s="17" t="str">
        <x:v>主角色</x:v>
      </x:c>
      <x:c r="E5" s="17" t="str">
        <x:v>优先级</x:v>
      </x:c>
      <x:c r="F5" s="17" t="str">
        <x:v>开始周</x:v>
      </x:c>
      <x:c r="G5" s="17" t="str">
        <x:v>结束周</x:v>
      </x:c>
      <x:c r="H5" s="17" t="str">
        <x:v>基础人日</x:v>
      </x:c>
      <x:c r="I5" s="17" t="str">
        <x:v>含缓冲人日</x:v>
      </x:c>
      <x:c r="J5" s="17" t="str">
        <x:v>依赖ID</x:v>
      </x:c>
      <x:c r="K5" s="17" t="str">
        <x:v>交付物</x:v>
      </x:c>
      <x:c r="L5" s="17" t="str">
        <x:v>验收条件</x:v>
      </x:c>
      <x:c r="M5" s="17" t="str">
        <x:v>需求引用</x:v>
      </x:c>
      <x:c r="N5" s="17" t="str">
        <x:v>设计引用</x:v>
      </x:c>
      <x:c r="O5" s="17" t="str">
        <x:v>状态</x:v>
      </x:c>
      <x:c r="P5" s="17" t="str">
        <x:v>完成率</x:v>
      </x:c>
      <x:c r="Q5" s="17" t="str">
        <x:v>挣值人日</x:v>
      </x:c>
      <x:c r="R5" s="17" t="str">
        <x:v>证据/备注</x:v>
      </x:c>
    </x:row>
    <x:row r="6" ht="70" customHeight="1">
      <x:c r="A6" s="26" t="str">
        <x:v>S0-01</x:v>
      </x:c>
      <x:c r="B6" s="26" t="str">
        <x:v>S0</x:v>
      </x:c>
      <x:c r="C6" s="28" t="str">
        <x:v>冻结目标客户、首发边界与商业模式</x:v>
      </x:c>
      <x:c r="D6" s="28" t="str">
        <x:v>PM</x:v>
      </x:c>
      <x:c r="E6" s="28" t="str">
        <x:v>P0</x:v>
      </x:c>
      <x:c r="F6" s="28" t="n">
        <x:v>1</x:v>
      </x:c>
      <x:c r="G6" s="28" t="n">
        <x:v>1</x:v>
      </x:c>
      <x:c r="H6" s="32" t="n">
        <x:v>2</x:v>
      </x:c>
      <x:c r="I6" s="36" t="n">
        <x:f>H6*(1+'项目总览'!$E$8)</x:f>
        <x:v>2.3</x:v>
      </x:c>
      <x:c r="J6" s="26"/>
      <x:c r="K6" s="26" t="str">
        <x:v>范围基线与排除项</x:v>
      </x:c>
      <x:c r="L6" s="26" t="str">
        <x:v>业务责任人确认；支付、地域、供给模式列为决策项</x:v>
      </x:c>
      <x:c r="M6" s="26" t="str">
        <x:v>FR-001;FR-019</x:v>
      </x:c>
      <x:c r="N6" s="26" t="str">
        <x:v>A01</x:v>
      </x:c>
      <x:c r="O6" s="28" t="str">
        <x:v>未开始</x:v>
      </x:c>
      <x:c r="P6" s="40" t="n">
        <x:v>0</x:v>
      </x:c>
      <x:c r="Q6" s="36" t="n">
        <x:f>H6*P6</x:f>
        <x:v>0</x:v>
      </x:c>
      <x:c r="R6" s="28"/>
    </x:row>
    <x:row r="7" ht="70" customHeight="1">
      <x:c r="A7" s="23" t="str">
        <x:v>S0-02</x:v>
      </x:c>
      <x:c r="B7" s="23" t="str">
        <x:v>S0</x:v>
      </x:c>
      <x:c r="C7" s="29" t="str">
        <x:v>开展领域建模并冻结上下文候选边界</x:v>
      </x:c>
      <x:c r="D7" s="29" t="str">
        <x:v>BE-A</x:v>
      </x:c>
      <x:c r="E7" s="29" t="str">
        <x:v>P0</x:v>
      </x:c>
      <x:c r="F7" s="29" t="n">
        <x:v>1</x:v>
      </x:c>
      <x:c r="G7" s="29" t="n">
        <x:v>1</x:v>
      </x:c>
      <x:c r="H7" s="33" t="n">
        <x:v>2</x:v>
      </x:c>
      <x:c r="I7" s="37" t="n">
        <x:f>H7*(1+'项目总览'!$E$8)</x:f>
        <x:v>2.3</x:v>
      </x:c>
      <x:c r="J7" s="23" t="str">
        <x:v>S0-01</x:v>
      </x:c>
      <x:c r="K7" s="23" t="str">
        <x:v>统一语言、Context Map、聚合／不变量与表所有权草案</x:v>
      </x:c>
      <x:c r="L7" s="23" t="str">
        <x:v>区分限界上下文与部署进程；Provider／Tool／Price 各有唯一归属；评审 G01–G03</x:v>
      </x:c>
      <x:c r="M7" s="23" t="str">
        <x:v>FR-004;FR-007;NFR-012</x:v>
      </x:c>
      <x:c r="N7" s="23" t="str">
        <x:v>A03;A04;G01;G02;G03</x:v>
      </x:c>
      <x:c r="O7" s="29" t="str">
        <x:v>未开始</x:v>
      </x:c>
      <x:c r="P7" s="41" t="n">
        <x:v>0</x:v>
      </x:c>
      <x:c r="Q7" s="37" t="n">
        <x:f>H7*P7</x:f>
        <x:v>0</x:v>
      </x:c>
      <x:c r="R7" s="29"/>
    </x:row>
    <x:row r="8" ht="70" customHeight="1">
      <x:c r="A8" s="26" t="str">
        <x:v>S0-03</x:v>
      </x:c>
      <x:c r="B8" s="26" t="str">
        <x:v>S0</x:v>
      </x:c>
      <x:c r="C8" s="28" t="str">
        <x:v>验证 MCP 新旧协议与 SDK</x:v>
      </x:c>
      <x:c r="D8" s="28" t="str">
        <x:v>BE-B</x:v>
      </x:c>
      <x:c r="E8" s="28" t="str">
        <x:v>P0</x:v>
      </x:c>
      <x:c r="F8" s="28" t="n">
        <x:v>1</x:v>
      </x:c>
      <x:c r="G8" s="28" t="n">
        <x:v>2</x:v>
      </x:c>
      <x:c r="H8" s="32" t="n">
        <x:v>3</x:v>
      </x:c>
      <x:c r="I8" s="36" t="n">
        <x:f>H8*(1+'项目总览'!$E$8)</x:f>
        <x:v>3.4499999999999997</x:v>
      </x:c>
      <x:c r="J8" s="26"/>
      <x:c r="K8" s="26" t="str">
        <x:v>协议 PoC 与兼容报告</x:v>
      </x:c>
      <x:c r="L8" s="26" t="str">
        <x:v>T15／T16 覆盖选定版本；固定依赖摘要</x:v>
      </x:c>
      <x:c r="M8" s="26" t="str">
        <x:v>FR-011</x:v>
      </x:c>
      <x:c r="N8" s="26" t="str">
        <x:v>A07</x:v>
      </x:c>
      <x:c r="O8" s="28" t="str">
        <x:v>未开始</x:v>
      </x:c>
      <x:c r="P8" s="40" t="n">
        <x:v>0</x:v>
      </x:c>
      <x:c r="Q8" s="36" t="n">
        <x:f>H8*P8</x:f>
        <x:v>0</x:v>
      </x:c>
      <x:c r="R8" s="28"/>
    </x:row>
    <x:row r="9" ht="70" customHeight="1">
      <x:c r="A9" s="23" t="str">
        <x:v>S0-04</x:v>
      </x:c>
      <x:c r="B9" s="23" t="str">
        <x:v>S0</x:v>
      </x:c>
      <x:c r="C9" s="29" t="str">
        <x:v>验证 HTTP 与远程 Agent 最小调用</x:v>
      </x:c>
      <x:c r="D9" s="29" t="str">
        <x:v>BE-B</x:v>
      </x:c>
      <x:c r="E9" s="29" t="str">
        <x:v>P0</x:v>
      </x:c>
      <x:c r="F9" s="29" t="n">
        <x:v>1</x:v>
      </x:c>
      <x:c r="G9" s="29" t="n">
        <x:v>2</x:v>
      </x:c>
      <x:c r="H9" s="33" t="n">
        <x:v>2</x:v>
      </x:c>
      <x:c r="I9" s="37" t="n">
        <x:f>H9*(1+'项目总览'!$E$8)</x:f>
        <x:v>2.3</x:v>
      </x:c>
      <x:c r="J9" s="23" t="str">
        <x:v>S0-01</x:v>
      </x:c>
      <x:c r="K9" s="23" t="str">
        <x:v>两类适配 PoC</x:v>
      </x:c>
      <x:c r="L9" s="23" t="str">
        <x:v>取得请求、响应、取消与费用上限证据</x:v>
      </x:c>
      <x:c r="M9" s="23" t="str">
        <x:v>FR-005;FR-012</x:v>
      </x:c>
      <x:c r="N9" s="23" t="str">
        <x:v>A06;A08</x:v>
      </x:c>
      <x:c r="O9" s="29" t="str">
        <x:v>未开始</x:v>
      </x:c>
      <x:c r="P9" s="41" t="n">
        <x:v>0</x:v>
      </x:c>
      <x:c r="Q9" s="37" t="n">
        <x:f>H9*P9</x:f>
        <x:v>0</x:v>
      </x:c>
      <x:c r="R9" s="29"/>
    </x:row>
    <x:row r="10" ht="70" customHeight="1">
      <x:c r="A10" s="26" t="str">
        <x:v>S0-05</x:v>
      </x:c>
      <x:c r="B10" s="26" t="str">
        <x:v>S0</x:v>
      </x:c>
      <x:c r="C10" s="28" t="str">
        <x:v>验证预留、重复消息及崩溃恢复</x:v>
      </x:c>
      <x:c r="D10" s="28" t="str">
        <x:v>BE-A</x:v>
      </x:c>
      <x:c r="E10" s="28" t="str">
        <x:v>P0</x:v>
      </x:c>
      <x:c r="F10" s="28" t="n">
        <x:v>1</x:v>
      </x:c>
      <x:c r="G10" s="28" t="n">
        <x:v>2</x:v>
      </x:c>
      <x:c r="H10" s="32" t="n">
        <x:v>3</x:v>
      </x:c>
      <x:c r="I10" s="36" t="n">
        <x:f>H10*(1+'项目总览'!$E$8)</x:f>
        <x:v>3.4499999999999997</x:v>
      </x:c>
      <x:c r="J10" s="26" t="str">
        <x:v>S0-02</x:v>
      </x:c>
      <x:c r="K10" s="26" t="str">
        <x:v>原子受理 PoC、失败用例和 ADR-020</x:v>
      </x:c>
      <x:c r="L10" s="26" t="str">
        <x:v>验证同事务 Run／预留／任务回滚；事务不包含外部调用；T47／T48 初版</x:v>
      </x:c>
      <x:c r="M10" s="26" t="str">
        <x:v>FR-013;NFR-015</x:v>
      </x:c>
      <x:c r="N10" s="26" t="str">
        <x:v>A05;A11;G05</x:v>
      </x:c>
      <x:c r="O10" s="28" t="str">
        <x:v>未开始</x:v>
      </x:c>
      <x:c r="P10" s="40" t="n">
        <x:v>0</x:v>
      </x:c>
      <x:c r="Q10" s="36" t="n">
        <x:f>H10*P10</x:f>
        <x:v>0</x:v>
      </x:c>
      <x:c r="R10" s="28"/>
    </x:row>
    <x:row r="11" ht="70" customHeight="1">
      <x:c r="A11" s="23" t="str">
        <x:v>S0-06</x:v>
      </x:c>
      <x:c r="B11" s="23" t="str">
        <x:v>S0</x:v>
      </x:c>
      <x:c r="C11" s="29" t="str">
        <x:v>设计控制台 IA 与关键页面低保真</x:v>
      </x:c>
      <x:c r="D11" s="29" t="str">
        <x:v>FE</x:v>
      </x:c>
      <x:c r="E11" s="29" t="str">
        <x:v>P0</x:v>
      </x:c>
      <x:c r="F11" s="29" t="n">
        <x:v>1</x:v>
      </x:c>
      <x:c r="G11" s="29" t="n">
        <x:v>2</x:v>
      </x:c>
      <x:c r="H11" s="33" t="n">
        <x:v>3</x:v>
      </x:c>
      <x:c r="I11" s="37" t="n">
        <x:f>H11*(1+'项目总览'!$E$8)</x:f>
        <x:v>3.4499999999999997</x:v>
      </x:c>
      <x:c r="J11" s="23" t="str">
        <x:v>S0-01</x:v>
      </x:c>
      <x:c r="K11" s="23" t="str">
        <x:v>导航、关键状态、前端领域模块与端口草图</x:v>
      </x:c>
      <x:c r="L11" s="23" t="str">
        <x:v>消费者与 Admin 权限分离；前端按用户任务建模，不复制后端聚合</x:v>
      </x:c>
      <x:c r="M11" s="23" t="str">
        <x:v>FR-017;FR-018</x:v>
      </x:c>
      <x:c r="N11" s="23" t="str">
        <x:v>A14;G06</x:v>
      </x:c>
      <x:c r="O11" s="29" t="str">
        <x:v>未开始</x:v>
      </x:c>
      <x:c r="P11" s="41" t="n">
        <x:v>0</x:v>
      </x:c>
      <x:c r="Q11" s="37" t="n">
        <x:f>H11*P11</x:f>
        <x:v>0</x:v>
      </x:c>
      <x:c r="R11" s="29"/>
    </x:row>
    <x:row r="12" ht="70" customHeight="1">
      <x:c r="A12" s="26" t="str">
        <x:v>S0-07</x:v>
      </x:c>
      <x:c r="B12" s="26" t="str">
        <x:v>S0</x:v>
      </x:c>
      <x:c r="C12" s="28" t="str">
        <x:v>定义验收矩阵与测试数据集</x:v>
      </x:c>
      <x:c r="D12" s="28" t="str">
        <x:v>QA</x:v>
      </x:c>
      <x:c r="E12" s="28" t="str">
        <x:v>P0</x:v>
      </x:c>
      <x:c r="F12" s="28" t="n">
        <x:v>1</x:v>
      </x:c>
      <x:c r="G12" s="28" t="n">
        <x:v>2</x:v>
      </x:c>
      <x:c r="H12" s="32" t="n">
        <x:v>3</x:v>
      </x:c>
      <x:c r="I12" s="36" t="n">
        <x:f>H12*(1+'项目总览'!$E$8)</x:f>
        <x:v>3.4499999999999997</x:v>
      </x:c>
      <x:c r="J12" s="26" t="str">
        <x:v>S0-02</x:v>
      </x:c>
      <x:c r="K12" s="26" t="str">
        <x:v>T01–T48 初版与负向架构 fixture 计划</x:v>
      </x:c>
      <x:c r="L12" s="26" t="str">
        <x:v>每个 P0 需求有证据路径；T41–T48 定义阻断条件</x:v>
      </x:c>
      <x:c r="M12" s="26" t="str">
        <x:v>NFR-001;NFR-016</x:v>
      </x:c>
      <x:c r="N12" s="26" t="str">
        <x:v>A16;G07</x:v>
      </x:c>
      <x:c r="O12" s="28" t="str">
        <x:v>未开始</x:v>
      </x:c>
      <x:c r="P12" s="40" t="n">
        <x:v>0</x:v>
      </x:c>
      <x:c r="Q12" s="36" t="n">
        <x:f>H12*P12</x:f>
        <x:v>0</x:v>
      </x:c>
      <x:c r="R12" s="28"/>
    </x:row>
    <x:row r="13" ht="70" customHeight="1">
      <x:c r="A13" s="23" t="str">
        <x:v>S0-08</x:v>
      </x:c>
      <x:c r="B13" s="23" t="str">
        <x:v>S0</x:v>
      </x:c>
      <x:c r="C13" s="29" t="str">
        <x:v>威胁模型与出口／凭据方案评审</x:v>
      </x:c>
      <x:c r="D13" s="29" t="str">
        <x:v>SRE</x:v>
      </x:c>
      <x:c r="E13" s="29" t="str">
        <x:v>P0</x:v>
      </x:c>
      <x:c r="F13" s="29" t="n">
        <x:v>1</x:v>
      </x:c>
      <x:c r="G13" s="29" t="n">
        <x:v>2</x:v>
      </x:c>
      <x:c r="H13" s="33" t="n">
        <x:v>2</x:v>
      </x:c>
      <x:c r="I13" s="37" t="n">
        <x:f>H13*(1+'项目总览'!$E$8)</x:f>
        <x:v>2.3</x:v>
      </x:c>
      <x:c r="J13" s="23" t="str">
        <x:v>S0-02</x:v>
      </x:c>
      <x:c r="K13" s="23" t="str">
        <x:v>威胁模型与安全基线</x:v>
      </x:c>
      <x:c r="L13" s="23" t="str">
        <x:v>隔离、SSRF、秘密、恢复风险有责任人</x:v>
      </x:c>
      <x:c r="M13" s="23" t="str">
        <x:v>NFR-002</x:v>
      </x:c>
      <x:c r="N13" s="23" t="str">
        <x:v>A10</x:v>
      </x:c>
      <x:c r="O13" s="29" t="str">
        <x:v>未开始</x:v>
      </x:c>
      <x:c r="P13" s="41" t="n">
        <x:v>0</x:v>
      </x:c>
      <x:c r="Q13" s="37" t="n">
        <x:f>H13*P13</x:f>
        <x:v>0</x:v>
      </x:c>
      <x:c r="R13" s="29"/>
    </x:row>
    <x:row r="14" ht="70" customHeight="1">
      <x:c r="A14" s="26" t="str">
        <x:v>S0-09</x:v>
      </x:c>
      <x:c r="B14" s="26" t="str">
        <x:v>S0</x:v>
      </x:c>
      <x:c r="C14" s="28" t="str">
        <x:v>申请供应商授权与确认试点名单</x:v>
      </x:c>
      <x:c r="D14" s="28" t="str">
        <x:v>PM</x:v>
      </x:c>
      <x:c r="E14" s="28" t="str">
        <x:v>P0</x:v>
      </x:c>
      <x:c r="F14" s="28" t="n">
        <x:v>1</x:v>
      </x:c>
      <x:c r="G14" s="28" t="n">
        <x:v>2</x:v>
      </x:c>
      <x:c r="H14" s="32" t="n">
        <x:v>0.75</x:v>
      </x:c>
      <x:c r="I14" s="36" t="n">
        <x:f>H14*(1+'项目总览'!$E$8)</x:f>
        <x:v>0.8624999999999999</x:v>
      </x:c>
      <x:c r="J14" s="26" t="str">
        <x:v>S0-01</x:v>
      </x:c>
      <x:c r="K14" s="26" t="str">
        <x:v>供应商依赖和试点登记</x:v>
      </x:c>
      <x:c r="L14" s="26" t="str">
        <x:v>至少确认首批真实能力与替代方案</x:v>
      </x:c>
      <x:c r="M14" s="26" t="str">
        <x:v>FR-006;FR-019</x:v>
      </x:c>
      <x:c r="N14" s="26" t="str">
        <x:v>A01</x:v>
      </x:c>
      <x:c r="O14" s="28" t="str">
        <x:v>未开始</x:v>
      </x:c>
      <x:c r="P14" s="40" t="n">
        <x:v>0</x:v>
      </x:c>
      <x:c r="Q14" s="36" t="n">
        <x:f>H14*P14</x:f>
        <x:v>0</x:v>
      </x:c>
      <x:c r="R14" s="28"/>
    </x:row>
    <x:row r="15" ht="70" customHeight="1">
      <x:c r="A15" s="23" t="str">
        <x:v>S0-10</x:v>
      </x:c>
      <x:c r="B15" s="23" t="str">
        <x:v>S0</x:v>
      </x:c>
      <x:c r="C15" s="29" t="str">
        <x:v>举行 G0 评审并冻结合同边界</x:v>
      </x:c>
      <x:c r="D15" s="29" t="str">
        <x:v>PM</x:v>
      </x:c>
      <x:c r="E15" s="29" t="str">
        <x:v>P0</x:v>
      </x:c>
      <x:c r="F15" s="29" t="n">
        <x:v>2</x:v>
      </x:c>
      <x:c r="G15" s="29" t="n">
        <x:v>2</x:v>
      </x:c>
      <x:c r="H15" s="33" t="n">
        <x:v>0.5</x:v>
      </x:c>
      <x:c r="I15" s="37" t="n">
        <x:f>H15*(1+'项目总览'!$E$8)</x:f>
        <x:v>0.575</x:v>
      </x:c>
      <x:c r="J15" s="23" t="str">
        <x:v>S0-03;S0-04;S0-05;S0-07;S0-08</x:v>
      </x:c>
      <x:c r="K15" s="23" t="str">
        <x:v>G0 决议、工具链版本、上下文所有权、例外与重估记录</x:v>
      </x:c>
      <x:c r="L15" s="23" t="str">
        <x:v>冻结用户工程约束；签署或拒绝 ADR-020；重估架构门禁工作量</x:v>
      </x:c>
      <x:c r="M15" s="23" t="str">
        <x:v>NFR-009</x:v>
      </x:c>
      <x:c r="N15" s="23" t="str">
        <x:v>A17;G08</x:v>
      </x:c>
      <x:c r="O15" s="29" t="str">
        <x:v>未开始</x:v>
      </x:c>
      <x:c r="P15" s="41" t="n">
        <x:v>0</x:v>
      </x:c>
      <x:c r="Q15" s="37" t="n">
        <x:f>H15*P15</x:f>
        <x:v>0</x:v>
      </x:c>
      <x:c r="R15" s="29"/>
    </x:row>
    <x:row r="16" ht="70" customHeight="1">
      <x:c r="A16" s="26" t="str">
        <x:v>S1-01</x:v>
      </x:c>
      <x:c r="B16" s="26" t="str">
        <x:v>S1</x:v>
      </x:c>
      <x:c r="C16" s="28" t="str">
        <x:v>建立按上下文分层的 Go 骨架与显式装配</x:v>
      </x:c>
      <x:c r="D16" s="28" t="str">
        <x:v>BE-A</x:v>
      </x:c>
      <x:c r="E16" s="28" t="str">
        <x:v>P0</x:v>
      </x:c>
      <x:c r="F16" s="28" t="n">
        <x:v>3</x:v>
      </x:c>
      <x:c r="G16" s="28" t="n">
        <x:v>3</x:v>
      </x:c>
      <x:c r="H16" s="32" t="n">
        <x:v>2</x:v>
      </x:c>
      <x:c r="I16" s="36" t="n">
        <x:f>H16*(1+'项目总览'!$E$8)</x:f>
        <x:v>2.3</x:v>
      </x:c>
      <x:c r="J16" s="26" t="str">
        <x:v>S0-10</x:v>
      </x:c>
      <x:c r="K16" s="26" t="str">
        <x:v>contexts／processes／bootstrap 骨架与小端口</x:v>
      </x:c>
      <x:c r="L16" s="26" t="str">
        <x:v>domain 不依赖框架；application 不引用 adapter；T42／T46 基础通过</x:v>
      </x:c>
      <x:c r="M16" s="26" t="str">
        <x:v>NFR-012;NFR-013</x:v>
      </x:c>
      <x:c r="N16" s="26" t="str">
        <x:v>A03;G04</x:v>
      </x:c>
      <x:c r="O16" s="28" t="str">
        <x:v>未开始</x:v>
      </x:c>
      <x:c r="P16" s="40" t="n">
        <x:v>0</x:v>
      </x:c>
      <x:c r="Q16" s="36" t="n">
        <x:f>H16*P16</x:f>
        <x:v>0</x:v>
      </x:c>
      <x:c r="R16" s="28"/>
    </x:row>
    <x:row r="17" ht="70" customHeight="1">
      <x:c r="A17" s="23" t="str">
        <x:v>S1-02</x:v>
      </x:c>
      <x:c r="B17" s="23" t="str">
        <x:v>S1</x:v>
      </x:c>
      <x:c r="C17" s="29" t="str">
        <x:v>创建租户、成员与服务身份模型</x:v>
      </x:c>
      <x:c r="D17" s="29" t="str">
        <x:v>BE-A</x:v>
      </x:c>
      <x:c r="E17" s="29" t="str">
        <x:v>P0</x:v>
      </x:c>
      <x:c r="F17" s="29" t="n">
        <x:v>3</x:v>
      </x:c>
      <x:c r="G17" s="29" t="n">
        <x:v>4</x:v>
      </x:c>
      <x:c r="H17" s="33" t="n">
        <x:v>3</x:v>
      </x:c>
      <x:c r="I17" s="37" t="n">
        <x:f>H17*(1+'项目总览'!$E$8)</x:f>
        <x:v>3.4499999999999997</x:v>
      </x:c>
      <x:c r="J17" s="23" t="str">
        <x:v>S1-01</x:v>
      </x:c>
      <x:c r="K17" s="23" t="str">
        <x:v>迁移与身份服务</x:v>
      </x:c>
      <x:c r="L17" s="23" t="str">
        <x:v>T01／T02 基础隔离通过</x:v>
      </x:c>
      <x:c r="M17" s="23" t="str">
        <x:v>FR-001</x:v>
      </x:c>
      <x:c r="N17" s="23" t="str">
        <x:v>A10;A13</x:v>
      </x:c>
      <x:c r="O17" s="29" t="str">
        <x:v>未开始</x:v>
      </x:c>
      <x:c r="P17" s="41" t="n">
        <x:v>0</x:v>
      </x:c>
      <x:c r="Q17" s="37" t="n">
        <x:f>H17*P17</x:f>
        <x:v>0</x:v>
      </x:c>
      <x:c r="R17" s="29"/>
    </x:row>
    <x:row r="18" ht="70" customHeight="1">
      <x:c r="A18" s="26" t="str">
        <x:v>S1-03</x:v>
      </x:c>
      <x:c r="B18" s="26" t="str">
        <x:v>S1</x:v>
      </x:c>
      <x:c r="C18" s="28" t="str">
        <x:v>实现机器 Key 及权限策略接口</x:v>
      </x:c>
      <x:c r="D18" s="28" t="str">
        <x:v>BE-A</x:v>
      </x:c>
      <x:c r="E18" s="28" t="str">
        <x:v>P0</x:v>
      </x:c>
      <x:c r="F18" s="28" t="n">
        <x:v>4</x:v>
      </x:c>
      <x:c r="G18" s="28" t="n">
        <x:v>5</x:v>
      </x:c>
      <x:c r="H18" s="32" t="n">
        <x:v>3</x:v>
      </x:c>
      <x:c r="I18" s="36" t="n">
        <x:f>H18*(1+'项目总览'!$E$8)</x:f>
        <x:v>3.4499999999999997</x:v>
      </x:c>
      <x:c r="J18" s="26" t="str">
        <x:v>S1-02</x:v>
      </x:c>
      <x:c r="K18" s="26" t="str">
        <x:v>Key 生命周期与 Authorizer</x:v>
      </x:c>
      <x:c r="L18" s="26" t="str">
        <x:v>T03；撤销与失败关闭路径可测试</x:v>
      </x:c>
      <x:c r="M18" s="26" t="str">
        <x:v>FR-002</x:v>
      </x:c>
      <x:c r="N18" s="26" t="str">
        <x:v>A10</x:v>
      </x:c>
      <x:c r="O18" s="28" t="str">
        <x:v>未开始</x:v>
      </x:c>
      <x:c r="P18" s="40" t="n">
        <x:v>0</x:v>
      </x:c>
      <x:c r="Q18" s="36" t="n">
        <x:f>H18*P18</x:f>
        <x:v>0</x:v>
      </x:c>
      <x:c r="R18" s="28"/>
    </x:row>
    <x:row r="19" ht="70" customHeight="1">
      <x:c r="A19" s="23" t="str">
        <x:v>S1-04</x:v>
      </x:c>
      <x:c r="B19" s="23" t="str">
        <x:v>S1</x:v>
      </x:c>
      <x:c r="C19" s="29" t="str">
        <x:v>实现登录会话与 OIDC 接口</x:v>
      </x:c>
      <x:c r="D19" s="29" t="str">
        <x:v>BE-B</x:v>
      </x:c>
      <x:c r="E19" s="29" t="str">
        <x:v>P0</x:v>
      </x:c>
      <x:c r="F19" s="29" t="n">
        <x:v>3</x:v>
      </x:c>
      <x:c r="G19" s="29" t="n">
        <x:v>4</x:v>
      </x:c>
      <x:c r="H19" s="33" t="n">
        <x:v>3</x:v>
      </x:c>
      <x:c r="I19" s="37" t="n">
        <x:f>H19*(1+'项目总览'!$E$8)</x:f>
        <x:v>3.4499999999999997</x:v>
      </x:c>
      <x:c r="J19" s="23" t="str">
        <x:v>S0-08</x:v>
      </x:c>
      <x:c r="K19" s="23" t="str">
        <x:v>浏览器认证与会话</x:v>
      </x:c>
      <x:c r="L19" s="23" t="str">
        <x:v>Cookie、CSRF、state／nonce 验证完成</x:v>
      </x:c>
      <x:c r="M19" s="23" t="str">
        <x:v>FR-001</x:v>
      </x:c>
      <x:c r="N19" s="23" t="str">
        <x:v>A10</x:v>
      </x:c>
      <x:c r="O19" s="29" t="str">
        <x:v>未开始</x:v>
      </x:c>
      <x:c r="P19" s="41" t="n">
        <x:v>0</x:v>
      </x:c>
      <x:c r="Q19" s="37" t="n">
        <x:f>H19*P19</x:f>
        <x:v>0</x:v>
      </x:c>
      <x:c r="R19" s="29"/>
    </x:row>
    <x:row r="20" ht="70" customHeight="1">
      <x:c r="A20" s="26" t="str">
        <x:v>S1-05</x:v>
      </x:c>
      <x:c r="B20" s="26" t="str">
        <x:v>S1</x:v>
      </x:c>
      <x:c r="C20" s="28" t="str">
        <x:v>实现 Catalog 与 Provider 读取模型</x:v>
      </x:c>
      <x:c r="D20" s="28" t="str">
        <x:v>BE-B</x:v>
      </x:c>
      <x:c r="E20" s="28" t="str">
        <x:v>P0</x:v>
      </x:c>
      <x:c r="F20" s="28" t="n">
        <x:v>3</x:v>
      </x:c>
      <x:c r="G20" s="28" t="n">
        <x:v>5</x:v>
      </x:c>
      <x:c r="H20" s="32" t="n">
        <x:v>3</x:v>
      </x:c>
      <x:c r="I20" s="36" t="n">
        <x:f>H20*(1+'项目总览'!$E$8)</x:f>
        <x:v>3.4499999999999997</x:v>
      </x:c>
      <x:c r="J20" s="26" t="str">
        <x:v>S0-02</x:v>
      </x:c>
      <x:c r="K20" s="26" t="str">
        <x:v>Catalog 查询端口、DTO 映射与 Provider 只读投影</x:v>
      </x:c>
      <x:c r="L20" s="26" t="str">
        <x:v>T04；Provider 主记录归 supply；PriceVersion 归 commerce；禁止跨域改表</x:v>
      </x:c>
      <x:c r="M20" s="26" t="str">
        <x:v>FR-003</x:v>
      </x:c>
      <x:c r="N20" s="26" t="str">
        <x:v>A04;A12;G02</x:v>
      </x:c>
      <x:c r="O20" s="28" t="str">
        <x:v>未开始</x:v>
      </x:c>
      <x:c r="P20" s="40" t="n">
        <x:v>0</x:v>
      </x:c>
      <x:c r="Q20" s="36" t="n">
        <x:f>H20*P20</x:f>
        <x:v>0</x:v>
      </x:c>
      <x:c r="R20" s="28"/>
    </x:row>
    <x:row r="21" ht="70" customHeight="1">
      <x:c r="A21" s="23" t="str">
        <x:v>S1-06</x:v>
      </x:c>
      <x:c r="B21" s="23" t="str">
        <x:v>S1</x:v>
      </x:c>
      <x:c r="C21" s="29" t="str">
        <x:v>实现最小平台管理 API 与审计</x:v>
      </x:c>
      <x:c r="D21" s="29" t="str">
        <x:v>BE-B</x:v>
      </x:c>
      <x:c r="E21" s="29" t="str">
        <x:v>P0</x:v>
      </x:c>
      <x:c r="F21" s="29" t="n">
        <x:v>4</x:v>
      </x:c>
      <x:c r="G21" s="29" t="n">
        <x:v>5</x:v>
      </x:c>
      <x:c r="H21" s="33" t="n">
        <x:v>2</x:v>
      </x:c>
      <x:c r="I21" s="37" t="n">
        <x:f>H21*(1+'项目总览'!$E$8)</x:f>
        <x:v>2.3</x:v>
      </x:c>
      <x:c r="J21" s="23" t="str">
        <x:v>S1-04;S1-05</x:v>
      </x:c>
      <x:c r="K21" s="23" t="str">
        <x:v>Admin 管理入口</x:v>
      </x:c>
      <x:c r="L21" s="23" t="str">
        <x:v>租户角色不能访问平台 API；写操作留审计</x:v>
      </x:c>
      <x:c r="M21" s="23" t="str">
        <x:v>FR-018</x:v>
      </x:c>
      <x:c r="N21" s="23" t="str">
        <x:v>A10;A14</x:v>
      </x:c>
      <x:c r="O21" s="29" t="str">
        <x:v>未开始</x:v>
      </x:c>
      <x:c r="P21" s="41" t="n">
        <x:v>0</x:v>
      </x:c>
      <x:c r="Q21" s="37" t="n">
        <x:f>H21*P21</x:f>
        <x:v>0</x:v>
      </x:c>
      <x:c r="R21" s="29"/>
    </x:row>
    <x:row r="22" ht="70" customHeight="1">
      <x:c r="A22" s="26" t="str">
        <x:v>S1-07</x:v>
      </x:c>
      <x:c r="B22" s="26" t="str">
        <x:v>S1</x:v>
      </x:c>
      <x:c r="C22" s="28" t="str">
        <x:v>搭建 pnpm workspace、Vite 与前端领域模块</x:v>
      </x:c>
      <x:c r="D22" s="28" t="str">
        <x:v>FE</x:v>
      </x:c>
      <x:c r="E22" s="28" t="str">
        <x:v>P0</x:v>
      </x:c>
      <x:c r="F22" s="28" t="n">
        <x:v>3</x:v>
      </x:c>
      <x:c r="G22" s="28" t="n">
        <x:v>3</x:v>
      </x:c>
      <x:c r="H22" s="32" t="n">
        <x:v>3</x:v>
      </x:c>
      <x:c r="I22" s="36" t="n">
        <x:f>H22*(1+'项目总览'!$E$8)</x:f>
        <x:v>3.4499999999999997</x:v>
      </x:c>
      <x:c r="J22" s="26" t="str">
        <x:v>S0-06</x:v>
      </x:c>
      <x:c r="K22" s="26" t="str">
        <x:v>console／admin、唯一 pnpm 锁、共享 UI 与端口装配</x:v>
      </x:c>
      <x:c r="L22" s="26" t="str">
        <x:v>T41／T44／T46；两个入口独立构建；不使用全局 features 万能包</x:v>
      </x:c>
      <x:c r="M22" s="26" t="str">
        <x:v>NFR-011;NFR-014</x:v>
      </x:c>
      <x:c r="N22" s="26" t="str">
        <x:v>A14;G06</x:v>
      </x:c>
      <x:c r="O22" s="28" t="str">
        <x:v>未开始</x:v>
      </x:c>
      <x:c r="P22" s="40" t="n">
        <x:v>0</x:v>
      </x:c>
      <x:c r="Q22" s="36" t="n">
        <x:f>H22*P22</x:f>
        <x:v>0</x:v>
      </x:c>
      <x:c r="R22" s="28"/>
    </x:row>
    <x:row r="23" ht="70" customHeight="1">
      <x:c r="A23" s="23" t="str">
        <x:v>S1-08</x:v>
      </x:c>
      <x:c r="B23" s="23" t="str">
        <x:v>S1</x:v>
      </x:c>
      <x:c r="C23" s="29" t="str">
        <x:v>实现登录、Workspace 与成员界面</x:v>
      </x:c>
      <x:c r="D23" s="29" t="str">
        <x:v>FE</x:v>
      </x:c>
      <x:c r="E23" s="29" t="str">
        <x:v>P0</x:v>
      </x:c>
      <x:c r="F23" s="29" t="n">
        <x:v>4</x:v>
      </x:c>
      <x:c r="G23" s="29" t="n">
        <x:v>4</x:v>
      </x:c>
      <x:c r="H23" s="33" t="n">
        <x:v>3</x:v>
      </x:c>
      <x:c r="I23" s="37" t="n">
        <x:f>H23*(1+'项目总览'!$E$8)</x:f>
        <x:v>3.4499999999999997</x:v>
      </x:c>
      <x:c r="J23" s="23" t="str">
        <x:v>S1-07</x:v>
      </x:c>
      <x:c r="K23" s="23" t="str">
        <x:v>会话与切换流程</x:v>
      </x:c>
      <x:c r="L23" s="23" t="str">
        <x:v>切换后清理旧查询；过期流程可恢复</x:v>
      </x:c>
      <x:c r="M23" s="23" t="str">
        <x:v>FR-001</x:v>
      </x:c>
      <x:c r="N23" s="23" t="str">
        <x:v>A14</x:v>
      </x:c>
      <x:c r="O23" s="29" t="str">
        <x:v>未开始</x:v>
      </x:c>
      <x:c r="P23" s="41" t="n">
        <x:v>0</x:v>
      </x:c>
      <x:c r="Q23" s="37" t="n">
        <x:f>H23*P23</x:f>
        <x:v>0</x:v>
      </x:c>
      <x:c r="R23" s="29"/>
    </x:row>
    <x:row r="24" ht="70" customHeight="1">
      <x:c r="A24" s="26" t="str">
        <x:v>S1-09</x:v>
      </x:c>
      <x:c r="B24" s="26" t="str">
        <x:v>S1</x:v>
      </x:c>
      <x:c r="C24" s="28" t="str">
        <x:v>实现目录、工具详情与 API Key 页面</x:v>
      </x:c>
      <x:c r="D24" s="28" t="str">
        <x:v>FE</x:v>
      </x:c>
      <x:c r="E24" s="28" t="str">
        <x:v>P0</x:v>
      </x:c>
      <x:c r="F24" s="28" t="n">
        <x:v>4</x:v>
      </x:c>
      <x:c r="G24" s="28" t="n">
        <x:v>5</x:v>
      </x:c>
      <x:c r="H24" s="32" t="n">
        <x:v>3</x:v>
      </x:c>
      <x:c r="I24" s="36" t="n">
        <x:f>H24*(1+'项目总览'!$E$8)</x:f>
        <x:v>3.4499999999999997</x:v>
      </x:c>
      <x:c r="J24" s="26" t="str">
        <x:v>S1-05;S1-07</x:v>
      </x:c>
      <x:c r="K24" s="26" t="str">
        <x:v>首批消费者页面</x:v>
      </x:c>
      <x:c r="L24" s="26" t="str">
        <x:v>加载／空／错误态和权限显示齐全</x:v>
      </x:c>
      <x:c r="M24" s="26" t="str">
        <x:v>FR-002;FR-003</x:v>
      </x:c>
      <x:c r="N24" s="26" t="str">
        <x:v>A14</x:v>
      </x:c>
      <x:c r="O24" s="28" t="str">
        <x:v>未开始</x:v>
      </x:c>
      <x:c r="P24" s="40" t="n">
        <x:v>0</x:v>
      </x:c>
      <x:c r="Q24" s="36" t="n">
        <x:f>H24*P24</x:f>
        <x:v>0</x:v>
      </x:c>
      <x:c r="R24" s="28"/>
    </x:row>
    <x:row r="25" ht="70" customHeight="1">
      <x:c r="A25" s="23" t="str">
        <x:v>S1-10</x:v>
      </x:c>
      <x:c r="B25" s="23" t="str">
        <x:v>S1</x:v>
      </x:c>
      <x:c r="C25" s="29" t="str">
        <x:v>实现最小 Admin 布局与工作区列表</x:v>
      </x:c>
      <x:c r="D25" s="29" t="str">
        <x:v>FE</x:v>
      </x:c>
      <x:c r="E25" s="29" t="str">
        <x:v>P0</x:v>
      </x:c>
      <x:c r="F25" s="29" t="n">
        <x:v>5</x:v>
      </x:c>
      <x:c r="G25" s="29" t="n">
        <x:v>5</x:v>
      </x:c>
      <x:c r="H25" s="33" t="n">
        <x:v>1</x:v>
      </x:c>
      <x:c r="I25" s="37" t="n">
        <x:f>H25*(1+'项目总览'!$E$8)</x:f>
        <x:v>1.15</x:v>
      </x:c>
      <x:c r="J25" s="23" t="str">
        <x:v>S1-06;S1-07</x:v>
      </x:c>
      <x:c r="K25" s="23" t="str">
        <x:v>Admin 首版</x:v>
      </x:c>
      <x:c r="L25" s="23" t="str">
        <x:v>平台入口与普通控制台独立打包或独立入口</x:v>
      </x:c>
      <x:c r="M25" s="23" t="str">
        <x:v>FR-018</x:v>
      </x:c>
      <x:c r="N25" s="23" t="str">
        <x:v>A14</x:v>
      </x:c>
      <x:c r="O25" s="29" t="str">
        <x:v>未开始</x:v>
      </x:c>
      <x:c r="P25" s="41" t="n">
        <x:v>0</x:v>
      </x:c>
      <x:c r="Q25" s="37" t="n">
        <x:f>H25*P25</x:f>
        <x:v>0</x:v>
      </x:c>
      <x:c r="R25" s="29"/>
    </x:row>
    <x:row r="26" ht="70" customHeight="1">
      <x:c r="A26" s="26" t="str">
        <x:v>S1-11</x:v>
      </x:c>
      <x:c r="B26" s="26" t="str">
        <x:v>S1</x:v>
      </x:c>
      <x:c r="C26" s="28" t="str">
        <x:v>搭建集成测试数据库与 fixture</x:v>
      </x:c>
      <x:c r="D26" s="28" t="str">
        <x:v>QA</x:v>
      </x:c>
      <x:c r="E26" s="28" t="str">
        <x:v>P0</x:v>
      </x:c>
      <x:c r="F26" s="28" t="n">
        <x:v>3</x:v>
      </x:c>
      <x:c r="G26" s="28" t="n">
        <x:v>3</x:v>
      </x:c>
      <x:c r="H26" s="32" t="n">
        <x:v>2</x:v>
      </x:c>
      <x:c r="I26" s="36" t="n">
        <x:f>H26*(1+'项目总览'!$E$8)</x:f>
        <x:v>2.3</x:v>
      </x:c>
      <x:c r="J26" s="26" t="str">
        <x:v>S1-01</x:v>
      </x:c>
      <x:c r="K26" s="26" t="str">
        <x:v>数据库 fixture、Fake 端口及故意违规架构样例</x:v>
      </x:c>
      <x:c r="L26" s="26" t="str">
        <x:v>正向案例通过、错误依赖必须失败；不得只检查目录存在</x:v>
      </x:c>
      <x:c r="M26" s="26" t="str">
        <x:v>NFR-003</x:v>
      </x:c>
      <x:c r="N26" s="26" t="str">
        <x:v>A16;G07</x:v>
      </x:c>
      <x:c r="O26" s="28" t="str">
        <x:v>未开始</x:v>
      </x:c>
      <x:c r="P26" s="40" t="n">
        <x:v>0</x:v>
      </x:c>
      <x:c r="Q26" s="36" t="n">
        <x:f>H26*P26</x:f>
        <x:v>0</x:v>
      </x:c>
      <x:c r="R26" s="28"/>
    </x:row>
    <x:row r="27" ht="70" customHeight="1">
      <x:c r="A27" s="23" t="str">
        <x:v>S1-12</x:v>
      </x:c>
      <x:c r="B27" s="23" t="str">
        <x:v>S1</x:v>
      </x:c>
      <x:c r="C27" s="29" t="str">
        <x:v>验证身份、目录隔离与前端状态</x:v>
      </x:c>
      <x:c r="D27" s="29" t="str">
        <x:v>QA</x:v>
      </x:c>
      <x:c r="E27" s="29" t="str">
        <x:v>P0</x:v>
      </x:c>
      <x:c r="F27" s="29" t="n">
        <x:v>4</x:v>
      </x:c>
      <x:c r="G27" s="29" t="n">
        <x:v>5</x:v>
      </x:c>
      <x:c r="H27" s="33" t="n">
        <x:v>4</x:v>
      </x:c>
      <x:c r="I27" s="37" t="n">
        <x:f>H27*(1+'项目总览'!$E$8)</x:f>
        <x:v>4.6</x:v>
      </x:c>
      <x:c r="J27" s="23" t="str">
        <x:v>S1-03;S1-06;S1-09</x:v>
      </x:c>
      <x:c r="K27" s="23" t="str">
        <x:v>T01–T04／T37／T41–T46 初版报告</x:v>
      </x:c>
      <x:c r="L27" s="23" t="str">
        <x:v>租户负向、前端状态和架构边界检查通过；未实现门禁不得填写通过</x:v>
      </x:c>
      <x:c r="M27" s="23" t="str">
        <x:v>NFR-001;NFR-007</x:v>
      </x:c>
      <x:c r="N27" s="23" t="str">
        <x:v>A16;G07</x:v>
      </x:c>
      <x:c r="O27" s="29" t="str">
        <x:v>未开始</x:v>
      </x:c>
      <x:c r="P27" s="41" t="n">
        <x:v>0</x:v>
      </x:c>
      <x:c r="Q27" s="37" t="n">
        <x:f>H27*P27</x:f>
        <x:v>0</x:v>
      </x:c>
      <x:c r="R27" s="29"/>
    </x:row>
    <x:row r="28" ht="70" customHeight="1">
      <x:c r="A28" s="26" t="str">
        <x:v>S1-13</x:v>
      </x:c>
      <x:c r="B28" s="26" t="str">
        <x:v>S1</x:v>
      </x:c>
      <x:c r="C28" s="28" t="str">
        <x:v>建立 pnpm 冻结构建与架构门禁 CI</x:v>
      </x:c>
      <x:c r="D28" s="28" t="str">
        <x:v>SRE</x:v>
      </x:c>
      <x:c r="E28" s="28" t="str">
        <x:v>P0</x:v>
      </x:c>
      <x:c r="F28" s="28" t="n">
        <x:v>3</x:v>
      </x:c>
      <x:c r="G28" s="28" t="n">
        <x:v>4</x:v>
      </x:c>
      <x:c r="H28" s="32" t="n">
        <x:v>3</x:v>
      </x:c>
      <x:c r="I28" s="36" t="n">
        <x:f>H28*(1+'项目总览'!$E$8)</x:f>
        <x:v>3.4499999999999997</x:v>
      </x:c>
      <x:c r="J28" s="26" t="str">
        <x:v>S1-01</x:v>
      </x:c>
      <x:c r="K28" s="26" t="str">
        <x:v>版本校验、导入图检查、生成代码漂移与秘密扫描流水线</x:v>
      </x:c>
      <x:c r="L28" s="26" t="str">
        <x:v>错误包管理器、跨域深导入、反向依赖和逾期例外阻断；记录具体工具版本</x:v>
      </x:c>
      <x:c r="M28" s="26" t="str">
        <x:v>NFR-011;NFR-013;NFR-016</x:v>
      </x:c>
      <x:c r="N28" s="26" t="str">
        <x:v>A15;G07</x:v>
      </x:c>
      <x:c r="O28" s="28" t="str">
        <x:v>未开始</x:v>
      </x:c>
      <x:c r="P28" s="40" t="n">
        <x:v>0</x:v>
      </x:c>
      <x:c r="Q28" s="36" t="n">
        <x:f>H28*P28</x:f>
        <x:v>0</x:v>
      </x:c>
      <x:c r="R28" s="28"/>
    </x:row>
    <x:row r="29" ht="70" customHeight="1">
      <x:c r="A29" s="23" t="str">
        <x:v>S1-14</x:v>
      </x:c>
      <x:c r="B29" s="23" t="str">
        <x:v>S1</x:v>
      </x:c>
      <x:c r="C29" s="29" t="str">
        <x:v>配置开发／预发布环境及最小监控</x:v>
      </x:c>
      <x:c r="D29" s="29" t="str">
        <x:v>SRE</x:v>
      </x:c>
      <x:c r="E29" s="29" t="str">
        <x:v>P0</x:v>
      </x:c>
      <x:c r="F29" s="29" t="n">
        <x:v>4</x:v>
      </x:c>
      <x:c r="G29" s="29" t="n">
        <x:v>5</x:v>
      </x:c>
      <x:c r="H29" s="33" t="n">
        <x:v>2</x:v>
      </x:c>
      <x:c r="I29" s="37" t="n">
        <x:f>H29*(1+'项目总览'!$E$8)</x:f>
        <x:v>2.3</x:v>
      </x:c>
      <x:c r="J29" s="23" t="str">
        <x:v>S1-13</x:v>
      </x:c>
      <x:c r="K29" s="23" t="str">
        <x:v>环境模板与健康检查</x:v>
      </x:c>
      <x:c r="L29" s="23" t="str">
        <x:v>数据库、对象存储与访问入口有受控凭据</x:v>
      </x:c>
      <x:c r="M29" s="23" t="str">
        <x:v>NFR-006</x:v>
      </x:c>
      <x:c r="N29" s="23" t="str">
        <x:v>A15</x:v>
      </x:c>
      <x:c r="O29" s="29" t="str">
        <x:v>未开始</x:v>
      </x:c>
      <x:c r="P29" s="41" t="n">
        <x:v>0</x:v>
      </x:c>
      <x:c r="Q29" s="37" t="n">
        <x:f>H29*P29</x:f>
        <x:v>0</x:v>
      </x:c>
      <x:c r="R29" s="29"/>
    </x:row>
    <x:row r="30" ht="70" customHeight="1">
      <x:c r="A30" s="26" t="str">
        <x:v>S1-15</x:v>
      </x:c>
      <x:c r="B30" s="26" t="str">
        <x:v>S1</x:v>
      </x:c>
      <x:c r="C30" s="28" t="str">
        <x:v>完成 G1 演示与范围复核</x:v>
      </x:c>
      <x:c r="D30" s="28" t="str">
        <x:v>PM</x:v>
      </x:c>
      <x:c r="E30" s="28" t="str">
        <x:v>P0</x:v>
      </x:c>
      <x:c r="F30" s="28" t="n">
        <x:v>5</x:v>
      </x:c>
      <x:c r="G30" s="28" t="n">
        <x:v>5</x:v>
      </x:c>
      <x:c r="H30" s="32" t="n">
        <x:v>1</x:v>
      </x:c>
      <x:c r="I30" s="36" t="n">
        <x:f>H30*(1+'项目总览'!$E$8)</x:f>
        <x:v>1.15</x:v>
      </x:c>
      <x:c r="J30" s="26" t="str">
        <x:v>S1-12;S1-14</x:v>
      </x:c>
      <x:c r="K30" s="26" t="str">
        <x:v>G1 签署与 WBS 更新</x:v>
      </x:c>
      <x:c r="L30" s="26" t="str">
        <x:v>基础用户流程通过；pnpm 和前后端边界负向案例可复现；G1 不豁免架构门禁</x:v>
      </x:c>
      <x:c r="M30" s="26" t="str">
        <x:v>FR-001;FR-003</x:v>
      </x:c>
      <x:c r="N30" s="26" t="str">
        <x:v>B04;G08</x:v>
      </x:c>
      <x:c r="O30" s="28" t="str">
        <x:v>未开始</x:v>
      </x:c>
      <x:c r="P30" s="40" t="n">
        <x:v>0</x:v>
      </x:c>
      <x:c r="Q30" s="36" t="n">
        <x:f>H30*P30</x:f>
        <x:v>0</x:v>
      </x:c>
      <x:c r="R30" s="28"/>
    </x:row>
    <x:row r="31" ht="70" customHeight="1">
      <x:c r="A31" s="23" t="str">
        <x:v>S2-01</x:v>
      </x:c>
      <x:c r="B31" s="23" t="str">
        <x:v>S2</x:v>
      </x:c>
      <x:c r="C31" s="29" t="str">
        <x:v>实现 ToolVersion、价格版本与绑定</x:v>
      </x:c>
      <x:c r="D31" s="29" t="str">
        <x:v>BE-A</x:v>
      </x:c>
      <x:c r="E31" s="29" t="str">
        <x:v>P0</x:v>
      </x:c>
      <x:c r="F31" s="29" t="n">
        <x:v>6</x:v>
      </x:c>
      <x:c r="G31" s="29" t="n">
        <x:v>6</x:v>
      </x:c>
      <x:c r="H31" s="33" t="n">
        <x:v>3</x:v>
      </x:c>
      <x:c r="I31" s="37" t="n">
        <x:f>H31*(1+'项目总览'!$E$8)</x:f>
        <x:v>3.4499999999999997</x:v>
      </x:c>
      <x:c r="J31" s="23" t="str">
        <x:v>S1-02;S1-05</x:v>
      </x:c>
      <x:c r="K31" s="23" t="str">
        <x:v>catalog ToolVersion 与 commerce PriceVersion 公开合同</x:v>
      </x:c>
      <x:c r="L31" s="23" t="str">
        <x:v>T05；独立所有权，经快照绑定，不把价格版本放入 catalog 持久层</x:v>
      </x:c>
      <x:c r="M31" s="23" t="str">
        <x:v>FR-004</x:v>
      </x:c>
      <x:c r="N31" s="23" t="str">
        <x:v>A04;G02</x:v>
      </x:c>
      <x:c r="O31" s="29" t="str">
        <x:v>未开始</x:v>
      </x:c>
      <x:c r="P31" s="41" t="n">
        <x:v>0</x:v>
      </x:c>
      <x:c r="Q31" s="37" t="n">
        <x:f>H31*P31</x:f>
        <x:v>0</x:v>
      </x:c>
      <x:c r="R31" s="29"/>
    </x:row>
    <x:row r="32" ht="70" customHeight="1">
      <x:c r="A32" s="26" t="str">
        <x:v>S2-02</x:v>
      </x:c>
      <x:c r="B32" s="26" t="str">
        <x:v>S2</x:v>
      </x:c>
      <x:c r="C32" s="28" t="str">
        <x:v>实现 Run、Attempt、事件与幂等</x:v>
      </x:c>
      <x:c r="D32" s="28" t="str">
        <x:v>BE-A</x:v>
      </x:c>
      <x:c r="E32" s="28" t="str">
        <x:v>P0</x:v>
      </x:c>
      <x:c r="F32" s="28" t="n">
        <x:v>6</x:v>
      </x:c>
      <x:c r="G32" s="28" t="n">
        <x:v>7</x:v>
      </x:c>
      <x:c r="H32" s="32" t="n">
        <x:v>4</x:v>
      </x:c>
      <x:c r="I32" s="36" t="n">
        <x:f>H32*(1+'项目总览'!$E$8)</x:f>
        <x:v>4.6</x:v>
      </x:c>
      <x:c r="J32" s="26" t="str">
        <x:v>S2-01</x:v>
      </x:c>
      <x:c r="K32" s="26" t="str">
        <x:v>执行协调器与持久合同</x:v>
      </x:c>
      <x:c r="L32" s="26" t="str">
        <x:v>T09／T11；请求摘要绑定全部执行影响字段</x:v>
      </x:c>
      <x:c r="M32" s="26" t="str">
        <x:v>FR-007;FR-008</x:v>
      </x:c>
      <x:c r="N32" s="26" t="str">
        <x:v>A05</x:v>
      </x:c>
      <x:c r="O32" s="28" t="str">
        <x:v>未开始</x:v>
      </x:c>
      <x:c r="P32" s="40" t="n">
        <x:v>0</x:v>
      </x:c>
      <x:c r="Q32" s="36" t="n">
        <x:f>H32*P32</x:f>
        <x:v>0</x:v>
      </x:c>
      <x:c r="R32" s="28"/>
    </x:row>
    <x:row r="33" ht="70" customHeight="1">
      <x:c r="A33" s="23" t="str">
        <x:v>S2-03</x:v>
      </x:c>
      <x:c r="B33" s="23" t="str">
        <x:v>S2</x:v>
      </x:c>
      <x:c r="C33" s="29" t="str">
        <x:v>实现钱包、分录与原子预算预留</x:v>
      </x:c>
      <x:c r="D33" s="29" t="str">
        <x:v>BE-A</x:v>
      </x:c>
      <x:c r="E33" s="29" t="str">
        <x:v>P0</x:v>
      </x:c>
      <x:c r="F33" s="29" t="n">
        <x:v>7</x:v>
      </x:c>
      <x:c r="G33" s="29" t="n">
        <x:v>8</x:v>
      </x:c>
      <x:c r="H33" s="33" t="n">
        <x:v>4</x:v>
      </x:c>
      <x:c r="I33" s="37" t="n">
        <x:f>H33*(1+'项目总览'!$E$8)</x:f>
        <x:v>4.6</x:v>
      </x:c>
      <x:c r="J33" s="23" t="str">
        <x:v>S2-02</x:v>
      </x:c>
      <x:c r="K33" s="23" t="str">
        <x:v>commerce 聚合与 AdmissionUnitOfWork 事务适配</x:v>
      </x:c>
      <x:c r="L33" s="23" t="str">
        <x:v>T18／T20／T47；预留、Run、任务原子；应用层无 SQL Tx</x:v>
      </x:c>
      <x:c r="M33" s="23" t="str">
        <x:v>FR-013;NFR-015</x:v>
      </x:c>
      <x:c r="N33" s="23" t="str">
        <x:v>A11;G05</x:v>
      </x:c>
      <x:c r="O33" s="29" t="str">
        <x:v>未开始</x:v>
      </x:c>
      <x:c r="P33" s="41" t="n">
        <x:v>0</x:v>
      </x:c>
      <x:c r="Q33" s="37" t="n">
        <x:f>H33*P33</x:f>
        <x:v>0</x:v>
      </x:c>
      <x:c r="R33" s="29"/>
    </x:row>
    <x:row r="34" ht="70" customHeight="1">
      <x:c r="A34" s="26" t="str">
        <x:v>S2-04</x:v>
      </x:c>
      <x:c r="B34" s="26" t="str">
        <x:v>S2</x:v>
      </x:c>
      <x:c r="C34" s="28" t="str">
        <x:v>实现结算、释放与结果不明处理</x:v>
      </x:c>
      <x:c r="D34" s="28" t="str">
        <x:v>BE-A</x:v>
      </x:c>
      <x:c r="E34" s="28" t="str">
        <x:v>P0</x:v>
      </x:c>
      <x:c r="F34" s="28" t="n">
        <x:v>8</x:v>
      </x:c>
      <x:c r="G34" s="28" t="n">
        <x:v>9</x:v>
      </x:c>
      <x:c r="H34" s="32" t="n">
        <x:v>2</x:v>
      </x:c>
      <x:c r="I34" s="36" t="n">
        <x:f>H34*(1+'项目总览'!$E$8)</x:f>
        <x:v>2.3</x:v>
      </x:c>
      <x:c r="J34" s="26" t="str">
        <x:v>S2-03</x:v>
      </x:c>
      <x:c r="K34" s="26" t="str">
        <x:v>结算与对账状态</x:v>
      </x:c>
      <x:c r="L34" s="26" t="str">
        <x:v>T21；未知结果不得自动释放或盲重投</x:v>
      </x:c>
      <x:c r="M34" s="26" t="str">
        <x:v>FR-014</x:v>
      </x:c>
      <x:c r="N34" s="26" t="str">
        <x:v>A11</x:v>
      </x:c>
      <x:c r="O34" s="28" t="str">
        <x:v>未开始</x:v>
      </x:c>
      <x:c r="P34" s="40" t="n">
        <x:v>0</x:v>
      </x:c>
      <x:c r="Q34" s="36" t="n">
        <x:f>H34*P34</x:f>
        <x:v>0</x:v>
      </x:c>
      <x:c r="R34" s="28"/>
    </x:row>
    <x:row r="35" ht="70" customHeight="1">
      <x:c r="A35" s="23" t="str">
        <x:v>S2-05</x:v>
      </x:c>
      <x:c r="B35" s="23" t="str">
        <x:v>S2</x:v>
      </x:c>
      <x:c r="C35" s="29" t="str">
        <x:v>实现 OpenAPI 导入器与诊断</x:v>
      </x:c>
      <x:c r="D35" s="29" t="str">
        <x:v>BE-B</x:v>
      </x:c>
      <x:c r="E35" s="29" t="str">
        <x:v>P0</x:v>
      </x:c>
      <x:c r="F35" s="29" t="n">
        <x:v>6</x:v>
      </x:c>
      <x:c r="G35" s="29" t="n">
        <x:v>7</x:v>
      </x:c>
      <x:c r="H35" s="33" t="n">
        <x:v>4</x:v>
      </x:c>
      <x:c r="I35" s="37" t="n">
        <x:f>H35*(1+'项目总览'!$E$8)</x:f>
        <x:v>4.6</x:v>
      </x:c>
      <x:c r="J35" s="23" t="str">
        <x:v>S1-05</x:v>
      </x:c>
      <x:c r="K35" s="23" t="str">
        <x:v>支持子集导入与草稿</x:v>
      </x:c>
      <x:c r="L35" s="23" t="str">
        <x:v>T06；外部引用默认禁用，报告不支持项</x:v>
      </x:c>
      <x:c r="M35" s="23" t="str">
        <x:v>FR-005</x:v>
      </x:c>
      <x:c r="N35" s="23" t="str">
        <x:v>A06</x:v>
      </x:c>
      <x:c r="O35" s="29" t="str">
        <x:v>未开始</x:v>
      </x:c>
      <x:c r="P35" s="41" t="n">
        <x:v>0</x:v>
      </x:c>
      <x:c r="Q35" s="37" t="n">
        <x:f>H35*P35</x:f>
        <x:v>0</x:v>
      </x:c>
      <x:c r="R35" s="29"/>
    </x:row>
    <x:row r="36" ht="70" customHeight="1">
      <x:c r="A36" s="26" t="str">
        <x:v>S2-06</x:v>
      </x:c>
      <x:c r="B36" s="26" t="str">
        <x:v>S2</x:v>
      </x:c>
      <x:c r="C36" s="28" t="str">
        <x:v>实现 HTTP Executor 与受控转换</x:v>
      </x:c>
      <x:c r="D36" s="28" t="str">
        <x:v>BE-B</x:v>
      </x:c>
      <x:c r="E36" s="28" t="str">
        <x:v>P0</x:v>
      </x:c>
      <x:c r="F36" s="28" t="n">
        <x:v>7</x:v>
      </x:c>
      <x:c r="G36" s="28" t="n">
        <x:v>8</x:v>
      </x:c>
      <x:c r="H36" s="32" t="n">
        <x:v>4</x:v>
      </x:c>
      <x:c r="I36" s="36" t="n">
        <x:f>H36*(1+'项目总览'!$E$8)</x:f>
        <x:v>4.6</x:v>
      </x:c>
      <x:c r="J36" s="26" t="str">
        <x:v>S2-05</x:v>
      </x:c>
      <x:c r="K36" s="26" t="str">
        <x:v>请求映射、认证注入与结果提取</x:v>
      </x:c>
      <x:c r="L36" s="26" t="str">
        <x:v>不允许模型覆盖 base URL 或认证头；费用数量受限</x:v>
      </x:c>
      <x:c r="M36" s="26" t="str">
        <x:v>FR-005;FR-006</x:v>
      </x:c>
      <x:c r="N36" s="26" t="str">
        <x:v>A06</x:v>
      </x:c>
      <x:c r="O36" s="28" t="str">
        <x:v>未开始</x:v>
      </x:c>
      <x:c r="P36" s="40" t="n">
        <x:v>0</x:v>
      </x:c>
      <x:c r="Q36" s="36" t="n">
        <x:f>H36*P36</x:f>
        <x:v>0</x:v>
      </x:c>
      <x:c r="R36" s="28"/>
    </x:row>
    <x:row r="37" ht="70" customHeight="1">
      <x:c r="A37" s="23" t="str">
        <x:v>S2-07</x:v>
      </x:c>
      <x:c r="B37" s="23" t="str">
        <x:v>S2</x:v>
      </x:c>
      <x:c r="C37" s="29" t="str">
        <x:v>实现 SQL 任务租约与 Outbox</x:v>
      </x:c>
      <x:c r="D37" s="29" t="str">
        <x:v>BE-B</x:v>
      </x:c>
      <x:c r="E37" s="29" t="str">
        <x:v>P0</x:v>
      </x:c>
      <x:c r="F37" s="29" t="n">
        <x:v>7</x:v>
      </x:c>
      <x:c r="G37" s="29" t="n">
        <x:v>8</x:v>
      </x:c>
      <x:c r="H37" s="33" t="n">
        <x:v>3</x:v>
      </x:c>
      <x:c r="I37" s="37" t="n">
        <x:f>H37*(1+'项目总览'!$E$8)</x:f>
        <x:v>3.4499999999999997</x:v>
      </x:c>
      <x:c r="J37" s="23" t="str">
        <x:v>S2-02</x:v>
      </x:c>
      <x:c r="K37" s="23" t="str">
        <x:v>SQL 租约、Outbox 与领域／集成事件映射</x:v>
      </x:c>
      <x:c r="L37" s="23" t="str">
        <x:v>T10／T48；提交后投递、重复可处理；不把领域实体序列化为公共事件</x:v>
      </x:c>
      <x:c r="M37" s="23" t="str">
        <x:v>FR-007;FR-008</x:v>
      </x:c>
      <x:c r="N37" s="23" t="str">
        <x:v>A05;G05</x:v>
      </x:c>
      <x:c r="O37" s="29" t="str">
        <x:v>未开始</x:v>
      </x:c>
      <x:c r="P37" s="41" t="n">
        <x:v>0</x:v>
      </x:c>
      <x:c r="Q37" s="37" t="n">
        <x:f>H37*P37</x:f>
        <x:v>0</x:v>
      </x:c>
      <x:c r="R37" s="29"/>
    </x:row>
    <x:row r="38" ht="70" customHeight="1">
      <x:c r="A38" s="26" t="str">
        <x:v>S2-08</x:v>
      </x:c>
      <x:c r="B38" s="26" t="str">
        <x:v>S2</x:v>
      </x:c>
      <x:c r="C38" s="28" t="str">
        <x:v>实现执行、报价与结果 REST API</x:v>
      </x:c>
      <x:c r="D38" s="28" t="str">
        <x:v>BE-B</x:v>
      </x:c>
      <x:c r="E38" s="28" t="str">
        <x:v>P0</x:v>
      </x:c>
      <x:c r="F38" s="28" t="n">
        <x:v>8</x:v>
      </x:c>
      <x:c r="G38" s="28" t="n">
        <x:v>9</x:v>
      </x:c>
      <x:c r="H38" s="32" t="n">
        <x:v>2</x:v>
      </x:c>
      <x:c r="I38" s="36" t="n">
        <x:f>H38*(1+'项目总览'!$E$8)</x:f>
        <x:v>2.3</x:v>
      </x:c>
      <x:c r="J38" s="26" t="str">
        <x:v>S2-06;S2-07</x:v>
      </x:c>
      <x:c r="K38" s="26" t="str">
        <x:v>核心消费 API</x:v>
      </x:c>
      <x:c r="L38" s="26" t="str">
        <x:v>请求／响应通过设计合同校验；不另造执行逻辑</x:v>
      </x:c>
      <x:c r="M38" s="26" t="str">
        <x:v>FR-007;FR-014</x:v>
      </x:c>
      <x:c r="N38" s="26" t="str">
        <x:v>A12</x:v>
      </x:c>
      <x:c r="O38" s="28" t="str">
        <x:v>未开始</x:v>
      </x:c>
      <x:c r="P38" s="40" t="n">
        <x:v>0</x:v>
      </x:c>
      <x:c r="Q38" s="36" t="n">
        <x:f>H38*P38</x:f>
        <x:v>0</x:v>
      </x:c>
      <x:c r="R38" s="28"/>
    </x:row>
    <x:row r="39" ht="70" customHeight="1">
      <x:c r="A39" s="23" t="str">
        <x:v>S2-09</x:v>
      </x:c>
      <x:c r="B39" s="23" t="str">
        <x:v>S2</x:v>
      </x:c>
      <x:c r="C39" s="29" t="str">
        <x:v>实现导入、测试与工具版本界面</x:v>
      </x:c>
      <x:c r="D39" s="29" t="str">
        <x:v>FE</x:v>
      </x:c>
      <x:c r="E39" s="29" t="str">
        <x:v>P0</x:v>
      </x:c>
      <x:c r="F39" s="29" t="n">
        <x:v>6</x:v>
      </x:c>
      <x:c r="G39" s="29" t="n">
        <x:v>7</x:v>
      </x:c>
      <x:c r="H39" s="33" t="n">
        <x:v>3</x:v>
      </x:c>
      <x:c r="I39" s="37" t="n">
        <x:f>H39*(1+'项目总览'!$E$8)</x:f>
        <x:v>3.4499999999999997</x:v>
      </x:c>
      <x:c r="J39" s="23" t="str">
        <x:v>S2-01</x:v>
      </x:c>
      <x:c r="K39" s="23" t="str">
        <x:v>发布草稿与测试页</x:v>
      </x:c>
      <x:c r="L39" s="23" t="str">
        <x:v>展示诊断、风险、费用及版本差异</x:v>
      </x:c>
      <x:c r="M39" s="23" t="str">
        <x:v>FR-004;FR-005</x:v>
      </x:c>
      <x:c r="N39" s="23" t="str">
        <x:v>A14</x:v>
      </x:c>
      <x:c r="O39" s="29" t="str">
        <x:v>未开始</x:v>
      </x:c>
      <x:c r="P39" s="41" t="n">
        <x:v>0</x:v>
      </x:c>
      <x:c r="Q39" s="37" t="n">
        <x:f>H39*P39</x:f>
        <x:v>0</x:v>
      </x:c>
      <x:c r="R39" s="29"/>
    </x:row>
    <x:row r="40" ht="70" customHeight="1">
      <x:c r="A40" s="26" t="str">
        <x:v>S2-10</x:v>
      </x:c>
      <x:c r="B40" s="26" t="str">
        <x:v>S2</x:v>
      </x:c>
      <x:c r="C40" s="28" t="str">
        <x:v>实现 Run Explorer 与详情时间线</x:v>
      </x:c>
      <x:c r="D40" s="28" t="str">
        <x:v>FE</x:v>
      </x:c>
      <x:c r="E40" s="28" t="str">
        <x:v>P0</x:v>
      </x:c>
      <x:c r="F40" s="28" t="n">
        <x:v>7</x:v>
      </x:c>
      <x:c r="G40" s="28" t="n">
        <x:v>8</x:v>
      </x:c>
      <x:c r="H40" s="32" t="n">
        <x:v>4</x:v>
      </x:c>
      <x:c r="I40" s="36" t="n">
        <x:f>H40*(1+'项目总览'!$E$8)</x:f>
        <x:v>4.6</x:v>
      </x:c>
      <x:c r="J40" s="26" t="str">
        <x:v>S2-02</x:v>
      </x:c>
      <x:c r="K40" s="26" t="str">
        <x:v>Run 列表、详情与结果视图</x:v>
      </x:c>
      <x:c r="L40" s="26" t="str">
        <x:v>T25；支持稳定分页和未确认状态说明</x:v>
      </x:c>
      <x:c r="M40" s="26" t="str">
        <x:v>FR-017</x:v>
      </x:c>
      <x:c r="N40" s="26" t="str">
        <x:v>A14</x:v>
      </x:c>
      <x:c r="O40" s="28" t="str">
        <x:v>未开始</x:v>
      </x:c>
      <x:c r="P40" s="40" t="n">
        <x:v>0</x:v>
      </x:c>
      <x:c r="Q40" s="36" t="n">
        <x:f>H40*P40</x:f>
        <x:v>0</x:v>
      </x:c>
      <x:c r="R40" s="28"/>
    </x:row>
    <x:row r="41" ht="70" customHeight="1">
      <x:c r="A41" s="23" t="str">
        <x:v>S2-11</x:v>
      </x:c>
      <x:c r="B41" s="23" t="str">
        <x:v>S2</x:v>
      </x:c>
      <x:c r="C41" s="29" t="str">
        <x:v>实现预算、余额与费用明细</x:v>
      </x:c>
      <x:c r="D41" s="29" t="str">
        <x:v>FE</x:v>
      </x:c>
      <x:c r="E41" s="29" t="str">
        <x:v>P0</x:v>
      </x:c>
      <x:c r="F41" s="29" t="n">
        <x:v>8</x:v>
      </x:c>
      <x:c r="G41" s="29" t="n">
        <x:v>9</x:v>
      </x:c>
      <x:c r="H41" s="33" t="n">
        <x:v>3</x:v>
      </x:c>
      <x:c r="I41" s="37" t="n">
        <x:f>H41*(1+'项目总览'!$E$8)</x:f>
        <x:v>3.4499999999999997</x:v>
      </x:c>
      <x:c r="J41" s="23" t="str">
        <x:v>S2-03;S2-04</x:v>
      </x:c>
      <x:c r="K41" s="23" t="str">
        <x:v>预算及账本读视图</x:v>
      </x:c>
      <x:c r="L41" s="23" t="str">
        <x:v>可区分可用、预留、结算与待对账</x:v>
      </x:c>
      <x:c r="M41" s="23" t="str">
        <x:v>FR-013;FR-014</x:v>
      </x:c>
      <x:c r="N41" s="23" t="str">
        <x:v>A14</x:v>
      </x:c>
      <x:c r="O41" s="29" t="str">
        <x:v>未开始</x:v>
      </x:c>
      <x:c r="P41" s="41" t="n">
        <x:v>0</x:v>
      </x:c>
      <x:c r="Q41" s="37" t="n">
        <x:f>H41*P41</x:f>
        <x:v>0</x:v>
      </x:c>
      <x:c r="R41" s="29"/>
    </x:row>
    <x:row r="42" ht="70" customHeight="1">
      <x:c r="A42" s="26" t="str">
        <x:v>S2-12</x:v>
      </x:c>
      <x:c r="B42" s="26" t="str">
        <x:v>S2</x:v>
      </x:c>
      <x:c r="C42" s="28" t="str">
        <x:v>实现可验证的 Get Started 流程</x:v>
      </x:c>
      <x:c r="D42" s="28" t="str">
        <x:v>FE</x:v>
      </x:c>
      <x:c r="E42" s="28" t="str">
        <x:v>P0</x:v>
      </x:c>
      <x:c r="F42" s="28" t="n">
        <x:v>8</x:v>
      </x:c>
      <x:c r="G42" s="28" t="n">
        <x:v>9</x:v>
      </x:c>
      <x:c r="H42" s="32" t="n">
        <x:v>2</x:v>
      </x:c>
      <x:c r="I42" s="36" t="n">
        <x:f>H42*(1+'项目总览'!$E$8)</x:f>
        <x:v>2.3</x:v>
      </x:c>
      <x:c r="J42" s="26" t="str">
        <x:v>S2-08;S2-10</x:v>
      </x:c>
      <x:c r="K42" s="26" t="str">
        <x:v>首次成功调用引导</x:v>
      </x:c>
      <x:c r="L42" s="26" t="str">
        <x:v>生成 Key、已连接和首次成功分别检测</x:v>
      </x:c>
      <x:c r="M42" s="26" t="str">
        <x:v>FR-017</x:v>
      </x:c>
      <x:c r="N42" s="26" t="str">
        <x:v>A14</x:v>
      </x:c>
      <x:c r="O42" s="28" t="str">
        <x:v>未开始</x:v>
      </x:c>
      <x:c r="P42" s="40" t="n">
        <x:v>0</x:v>
      </x:c>
      <x:c r="Q42" s="36" t="n">
        <x:f>H42*P42</x:f>
        <x:v>0</x:v>
      </x:c>
      <x:c r="R42" s="28"/>
    </x:row>
    <x:row r="43" ht="70" customHeight="1">
      <x:c r="A43" s="23" t="str">
        <x:v>S2-13</x:v>
      </x:c>
      <x:c r="B43" s="23" t="str">
        <x:v>S2</x:v>
      </x:c>
      <x:c r="C43" s="29" t="str">
        <x:v>编写 HTTP 导入与执行合同测试</x:v>
      </x:c>
      <x:c r="D43" s="29" t="str">
        <x:v>QA</x:v>
      </x:c>
      <x:c r="E43" s="29" t="str">
        <x:v>P0</x:v>
      </x:c>
      <x:c r="F43" s="29" t="n">
        <x:v>6</x:v>
      </x:c>
      <x:c r="G43" s="29" t="n">
        <x:v>8</x:v>
      </x:c>
      <x:c r="H43" s="33" t="n">
        <x:v>3</x:v>
      </x:c>
      <x:c r="I43" s="37" t="n">
        <x:f>H43*(1+'项目总览'!$E$8)</x:f>
        <x:v>3.4499999999999997</x:v>
      </x:c>
      <x:c r="J43" s="23" t="str">
        <x:v>S2-05;S2-06</x:v>
      </x:c>
      <x:c r="K43" s="23" t="str">
        <x:v>支持矩阵与 fixtures</x:v>
      </x:c>
      <x:c r="L43" s="23" t="str">
        <x:v>关键内容类型、分页、错误与限额用例通过</x:v>
      </x:c>
      <x:c r="M43" s="23" t="str">
        <x:v>FR-005</x:v>
      </x:c>
      <x:c r="N43" s="23" t="str">
        <x:v>A16</x:v>
      </x:c>
      <x:c r="O43" s="29" t="str">
        <x:v>未开始</x:v>
      </x:c>
      <x:c r="P43" s="41" t="n">
        <x:v>0</x:v>
      </x:c>
      <x:c r="Q43" s="37" t="n">
        <x:f>H43*P43</x:f>
        <x:v>0</x:v>
      </x:c>
      <x:c r="R43" s="29"/>
    </x:row>
    <x:row r="44" ht="70" customHeight="1">
      <x:c r="A44" s="26" t="str">
        <x:v>S2-14</x:v>
      </x:c>
      <x:c r="B44" s="26" t="str">
        <x:v>S2</x:v>
      </x:c>
      <x:c r="C44" s="28" t="str">
        <x:v>实施幂等、预算及 Worker 故障注入</x:v>
      </x:c>
      <x:c r="D44" s="28" t="str">
        <x:v>QA</x:v>
      </x:c>
      <x:c r="E44" s="28" t="str">
        <x:v>P0</x:v>
      </x:c>
      <x:c r="F44" s="28" t="n">
        <x:v>7</x:v>
      </x:c>
      <x:c r="G44" s="28" t="n">
        <x:v>9</x:v>
      </x:c>
      <x:c r="H44" s="32" t="n">
        <x:v>5</x:v>
      </x:c>
      <x:c r="I44" s="36" t="n">
        <x:f>H44*(1+'项目总览'!$E$8)</x:f>
        <x:v>5.75</x:v>
      </x:c>
      <x:c r="J44" s="26" t="str">
        <x:v>S2-02;S2-03;S2-07</x:v>
      </x:c>
      <x:c r="K44" s="26" t="str">
        <x:v>资金／Worker 故障与 T45／T47／T48 报告</x:v>
      </x:c>
      <x:c r="L44" s="26" t="str">
        <x:v>逐写入点崩溃回滚；重复投递不重复结算；未知结果不盲重试</x:v>
      </x:c>
      <x:c r="M44" s="26" t="str">
        <x:v>NFR-003</x:v>
      </x:c>
      <x:c r="N44" s="26" t="str">
        <x:v>A16;G05;G07</x:v>
      </x:c>
      <x:c r="O44" s="28" t="str">
        <x:v>未开始</x:v>
      </x:c>
      <x:c r="P44" s="40" t="n">
        <x:v>0</x:v>
      </x:c>
      <x:c r="Q44" s="36" t="n">
        <x:f>H44*P44</x:f>
        <x:v>0</x:v>
      </x:c>
      <x:c r="R44" s="28"/>
    </x:row>
    <x:row r="45" ht="70" customHeight="1">
      <x:c r="A45" s="23" t="str">
        <x:v>S2-15</x:v>
      </x:c>
      <x:c r="B45" s="23" t="str">
        <x:v>S2</x:v>
      </x:c>
      <x:c r="C45" s="29" t="str">
        <x:v>执行端到端 Alpha 验收</x:v>
      </x:c>
      <x:c r="D45" s="29" t="str">
        <x:v>QA</x:v>
      </x:c>
      <x:c r="E45" s="29" t="str">
        <x:v>P0</x:v>
      </x:c>
      <x:c r="F45" s="29" t="n">
        <x:v>9</x:v>
      </x:c>
      <x:c r="G45" s="29" t="n">
        <x:v>9</x:v>
      </x:c>
      <x:c r="H45" s="33" t="n">
        <x:v>2</x:v>
      </x:c>
      <x:c r="I45" s="37" t="n">
        <x:f>H45*(1+'项目总览'!$E$8)</x:f>
        <x:v>2.3</x:v>
      </x:c>
      <x:c r="J45" s="23" t="str">
        <x:v>S2-09;S2-10;S2-11;S2-12</x:v>
      </x:c>
      <x:c r="K45" s="23" t="str">
        <x:v>G2 测试证据</x:v>
      </x:c>
      <x:c r="L45" s="23" t="str">
        <x:v>从导入到结算的完整路径通过</x:v>
      </x:c>
      <x:c r="M45" s="23" t="str">
        <x:v>FR-007;FR-017</x:v>
      </x:c>
      <x:c r="N45" s="23" t="str">
        <x:v>B05</x:v>
      </x:c>
      <x:c r="O45" s="29" t="str">
        <x:v>未开始</x:v>
      </x:c>
      <x:c r="P45" s="41" t="n">
        <x:v>0</x:v>
      </x:c>
      <x:c r="Q45" s="37" t="n">
        <x:f>H45*P45</x:f>
        <x:v>0</x:v>
      </x:c>
      <x:c r="R45" s="29"/>
    </x:row>
    <x:row r="46" ht="70" customHeight="1">
      <x:c r="A46" s="26" t="str">
        <x:v>S2-16</x:v>
      </x:c>
      <x:c r="B46" s="26" t="str">
        <x:v>S2</x:v>
      </x:c>
      <x:c r="C46" s="28" t="str">
        <x:v>部署出口限制与 Credential Broker 基础</x:v>
      </x:c>
      <x:c r="D46" s="28" t="str">
        <x:v>SRE</x:v>
      </x:c>
      <x:c r="E46" s="28" t="str">
        <x:v>P0</x:v>
      </x:c>
      <x:c r="F46" s="28" t="n">
        <x:v>6</x:v>
      </x:c>
      <x:c r="G46" s="28" t="n">
        <x:v>8</x:v>
      </x:c>
      <x:c r="H46" s="32" t="n">
        <x:v>3</x:v>
      </x:c>
      <x:c r="I46" s="36" t="n">
        <x:f>H46*(1+'项目总览'!$E$8)</x:f>
        <x:v>3.4499999999999997</x:v>
      </x:c>
      <x:c r="J46" s="26" t="str">
        <x:v>S0-08;S1-14</x:v>
      </x:c>
      <x:c r="K46" s="26" t="str">
        <x:v>出口策略与凭据加密配置</x:v>
      </x:c>
      <x:c r="L46" s="26" t="str">
        <x:v>日志脱敏、目标限制和密钥访问可验证</x:v>
      </x:c>
      <x:c r="M46" s="26" t="str">
        <x:v>NFR-002</x:v>
      </x:c>
      <x:c r="N46" s="26" t="str">
        <x:v>A10</x:v>
      </x:c>
      <x:c r="O46" s="28" t="str">
        <x:v>未开始</x:v>
      </x:c>
      <x:c r="P46" s="40" t="n">
        <x:v>0</x:v>
      </x:c>
      <x:c r="Q46" s="36" t="n">
        <x:f>H46*P46</x:f>
        <x:v>0</x:v>
      </x:c>
      <x:c r="R46" s="28"/>
    </x:row>
    <x:row r="47" ht="70" customHeight="1">
      <x:c r="A47" s="23" t="str">
        <x:v>S2-17</x:v>
      </x:c>
      <x:c r="B47" s="23" t="str">
        <x:v>S2</x:v>
      </x:c>
      <x:c r="C47" s="29" t="str">
        <x:v>建立 Run／资金监控及告警</x:v>
      </x:c>
      <x:c r="D47" s="29" t="str">
        <x:v>SRE</x:v>
      </x:c>
      <x:c r="E47" s="29" t="str">
        <x:v>P0</x:v>
      </x:c>
      <x:c r="F47" s="29" t="n">
        <x:v>8</x:v>
      </x:c>
      <x:c r="G47" s="29" t="n">
        <x:v>9</x:v>
      </x:c>
      <x:c r="H47" s="33" t="n">
        <x:v>2</x:v>
      </x:c>
      <x:c r="I47" s="37" t="n">
        <x:f>H47*(1+'项目总览'!$E$8)</x:f>
        <x:v>2.3</x:v>
      </x:c>
      <x:c r="J47" s="23" t="str">
        <x:v>S2-03;S2-07</x:v>
      </x:c>
      <x:c r="K47" s="23" t="str">
        <x:v>仪表板与告警规则</x:v>
      </x:c>
      <x:c r="L47" s="23" t="str">
        <x:v>队列、待对账、账差与预算拒绝可检索</x:v>
      </x:c>
      <x:c r="M47" s="23" t="str">
        <x:v>NFR-006</x:v>
      </x:c>
      <x:c r="N47" s="23" t="str">
        <x:v>A15</x:v>
      </x:c>
      <x:c r="O47" s="29" t="str">
        <x:v>未开始</x:v>
      </x:c>
      <x:c r="P47" s="41" t="n">
        <x:v>0</x:v>
      </x:c>
      <x:c r="Q47" s="37" t="n">
        <x:f>H47*P47</x:f>
        <x:v>0</x:v>
      </x:c>
      <x:c r="R47" s="29"/>
    </x:row>
    <x:row r="48" ht="70" customHeight="1">
      <x:c r="A48" s="26" t="str">
        <x:v>S2-18</x:v>
      </x:c>
      <x:c r="B48" s="26" t="str">
        <x:v>S2</x:v>
      </x:c>
      <x:c r="C48" s="28" t="str">
        <x:v>组织试点任务与 G2 Alpha 评审</x:v>
      </x:c>
      <x:c r="D48" s="28" t="str">
        <x:v>PM</x:v>
      </x:c>
      <x:c r="E48" s="28" t="str">
        <x:v>P0</x:v>
      </x:c>
      <x:c r="F48" s="28" t="n">
        <x:v>8</x:v>
      </x:c>
      <x:c r="G48" s="28" t="n">
        <x:v>9</x:v>
      </x:c>
      <x:c r="H48" s="32" t="n">
        <x:v>2</x:v>
      </x:c>
      <x:c r="I48" s="36" t="n">
        <x:f>H48*(1+'项目总览'!$E$8)</x:f>
        <x:v>2.3</x:v>
      </x:c>
      <x:c r="J48" s="26" t="str">
        <x:v>S2-15;S2-17</x:v>
      </x:c>
      <x:c r="K48" s="26" t="str">
        <x:v>试点任务集与 G2 决议</x:v>
      </x:c>
      <x:c r="L48" s="26" t="str">
        <x:v>至少一条真实供应商闭环；模拟资金与真实资金分开</x:v>
      </x:c>
      <x:c r="M48" s="26" t="str">
        <x:v>FR-007</x:v>
      </x:c>
      <x:c r="N48" s="26" t="str">
        <x:v>B05</x:v>
      </x:c>
      <x:c r="O48" s="28" t="str">
        <x:v>未开始</x:v>
      </x:c>
      <x:c r="P48" s="40" t="n">
        <x:v>0</x:v>
      </x:c>
      <x:c r="Q48" s="36" t="n">
        <x:f>H48*P48</x:f>
        <x:v>0</x:v>
      </x:c>
      <x:c r="R48" s="28"/>
    </x:row>
    <x:row r="49" ht="70" customHeight="1">
      <x:c r="A49" s="23" t="str">
        <x:v>S3-01</x:v>
      </x:c>
      <x:c r="B49" s="23" t="str">
        <x:v>S3</x:v>
      </x:c>
      <x:c r="C49" s="29" t="str">
        <x:v>实现 Toolset 与路由快照发布</x:v>
      </x:c>
      <x:c r="D49" s="29" t="str">
        <x:v>BE-A</x:v>
      </x:c>
      <x:c r="E49" s="29" t="str">
        <x:v>P0</x:v>
      </x:c>
      <x:c r="F49" s="29" t="n">
        <x:v>10</x:v>
      </x:c>
      <x:c r="G49" s="29" t="n">
        <x:v>11</x:v>
      </x:c>
      <x:c r="H49" s="33" t="n">
        <x:v>3</x:v>
      </x:c>
      <x:c r="I49" s="37" t="n">
        <x:f>H49*(1+'项目总览'!$E$8)</x:f>
        <x:v>3.4499999999999997</x:v>
      </x:c>
      <x:c r="J49" s="23" t="str">
        <x:v>S2-01;S2-04</x:v>
      </x:c>
      <x:c r="K49" s="23" t="str">
        <x:v>工具集、绑定与路由版本</x:v>
      </x:c>
      <x:c r="L49" s="23" t="str">
        <x:v>T13；已有任务版本不漂移</x:v>
      </x:c>
      <x:c r="M49" s="23" t="str">
        <x:v>FR-009</x:v>
      </x:c>
      <x:c r="N49" s="23" t="str">
        <x:v>A07</x:v>
      </x:c>
      <x:c r="O49" s="29" t="str">
        <x:v>未开始</x:v>
      </x:c>
      <x:c r="P49" s="41" t="n">
        <x:v>0</x:v>
      </x:c>
      <x:c r="Q49" s="37" t="n">
        <x:f>H49*P49</x:f>
        <x:v>0</x:v>
      </x:c>
      <x:c r="R49" s="29"/>
    </x:row>
    <x:row r="50" ht="70" customHeight="1">
      <x:c r="A50" s="26" t="str">
        <x:v>S3-02</x:v>
      </x:c>
      <x:c r="B50" s="26" t="str">
        <x:v>S3</x:v>
      </x:c>
      <x:c r="C50" s="28" t="str">
        <x:v>实现 OAuth Connection 与授权范围</x:v>
      </x:c>
      <x:c r="D50" s="28" t="str">
        <x:v>BE-A</x:v>
      </x:c>
      <x:c r="E50" s="28" t="str">
        <x:v>P0</x:v>
      </x:c>
      <x:c r="F50" s="28" t="n">
        <x:v>10</x:v>
      </x:c>
      <x:c r="G50" s="28" t="n">
        <x:v>12</x:v>
      </x:c>
      <x:c r="H50" s="32" t="n">
        <x:v>4</x:v>
      </x:c>
      <x:c r="I50" s="36" t="n">
        <x:f>H50*(1+'项目总览'!$E$8)</x:f>
        <x:v>4.6</x:v>
      </x:c>
      <x:c r="J50" s="26" t="str">
        <x:v>S1-04;S2-16</x:v>
      </x:c>
      <x:c r="K50" s="26" t="str">
        <x:v>授权、刷新、撤销与连接授权</x:v>
      </x:c>
      <x:c r="L50" s="26" t="str">
        <x:v>T07／T08；刷新竞争使用版本比较或互斥</x:v>
      </x:c>
      <x:c r="M50" s="26" t="str">
        <x:v>FR-006</x:v>
      </x:c>
      <x:c r="N50" s="26" t="str">
        <x:v>A10</x:v>
      </x:c>
      <x:c r="O50" s="28" t="str">
        <x:v>未开始</x:v>
      </x:c>
      <x:c r="P50" s="40" t="n">
        <x:v>0</x:v>
      </x:c>
      <x:c r="Q50" s="36" t="n">
        <x:f>H50*P50</x:f>
        <x:v>0</x:v>
      </x:c>
      <x:c r="R50" s="28"/>
    </x:row>
    <x:row r="51" ht="70" customHeight="1">
      <x:c r="A51" s="23" t="str">
        <x:v>S3-03</x:v>
      </x:c>
      <x:c r="B51" s="23" t="str">
        <x:v>S3</x:v>
      </x:c>
      <x:c r="C51" s="29" t="str">
        <x:v>实现产物服务与对象级授权</x:v>
      </x:c>
      <x:c r="D51" s="29" t="str">
        <x:v>BE-A</x:v>
      </x:c>
      <x:c r="E51" s="29" t="str">
        <x:v>P0</x:v>
      </x:c>
      <x:c r="F51" s="29" t="n">
        <x:v>11</x:v>
      </x:c>
      <x:c r="G51" s="29" t="n">
        <x:v>12</x:v>
      </x:c>
      <x:c r="H51" s="33" t="n">
        <x:v>2</x:v>
      </x:c>
      <x:c r="I51" s="37" t="n">
        <x:f>H51*(1+'项目总览'!$E$8)</x:f>
        <x:v>2.3</x:v>
      </x:c>
      <x:c r="J51" s="23" t="str">
        <x:v>S2-02</x:v>
      </x:c>
      <x:c r="K51" s="23" t="str">
        <x:v>上传、签名读取与生命周期</x:v>
      </x:c>
      <x:c r="L51" s="23" t="str">
        <x:v>T30；不把存储路径当作访问授权</x:v>
      </x:c>
      <x:c r="M51" s="23" t="str">
        <x:v>FR-022</x:v>
      </x:c>
      <x:c r="N51" s="23" t="str">
        <x:v>A13</x:v>
      </x:c>
      <x:c r="O51" s="29" t="str">
        <x:v>未开始</x:v>
      </x:c>
      <x:c r="P51" s="41" t="n">
        <x:v>0</x:v>
      </x:c>
      <x:c r="Q51" s="37" t="n">
        <x:f>H51*P51</x:f>
        <x:v>0</x:v>
      </x:c>
      <x:c r="R51" s="29"/>
    </x:row>
    <x:row r="52" ht="70" customHeight="1">
      <x:c r="A52" s="26" t="str">
        <x:v>S3-04</x:v>
      </x:c>
      <x:c r="B52" s="26" t="str">
        <x:v>S3</x:v>
      </x:c>
      <x:c r="C52" s="28" t="str">
        <x:v>实现受信回调、Inbox 与状态归并</x:v>
      </x:c>
      <x:c r="D52" s="28" t="str">
        <x:v>BE-A</x:v>
      </x:c>
      <x:c r="E52" s="28" t="str">
        <x:v>P0</x:v>
      </x:c>
      <x:c r="F52" s="28" t="n">
        <x:v>12</x:v>
      </x:c>
      <x:c r="G52" s="28" t="n">
        <x:v>13</x:v>
      </x:c>
      <x:c r="H52" s="32" t="n">
        <x:v>3</x:v>
      </x:c>
      <x:c r="I52" s="36" t="n">
        <x:f>H52*(1+'项目总览'!$E$8)</x:f>
        <x:v>3.4499999999999997</x:v>
      </x:c>
      <x:c r="J52" s="26" t="str">
        <x:v>S2-07;S3-02</x:v>
      </x:c>
      <x:c r="K52" s="26" t="str">
        <x:v>Webhook 去重与乱序处理</x:v>
      </x:c>
      <x:c r="L52" s="26" t="str">
        <x:v>T28；只有验签成功事件可推进状态</x:v>
      </x:c>
      <x:c r="M52" s="26" t="str">
        <x:v>FR-020</x:v>
      </x:c>
      <x:c r="N52" s="26" t="str">
        <x:v>A12</x:v>
      </x:c>
      <x:c r="O52" s="28" t="str">
        <x:v>未开始</x:v>
      </x:c>
      <x:c r="P52" s="40" t="n">
        <x:v>0</x:v>
      </x:c>
      <x:c r="Q52" s="36" t="n">
        <x:f>H52*P52</x:f>
        <x:v>0</x:v>
      </x:c>
      <x:c r="R52" s="28"/>
    </x:row>
    <x:row r="53" ht="70" customHeight="1">
      <x:c r="A53" s="23" t="str">
        <x:v>S3-05</x:v>
      </x:c>
      <x:c r="B53" s="23" t="str">
        <x:v>S3</x:v>
      </x:c>
      <x:c r="C53" s="29" t="str">
        <x:v>实现远程 MCP Client 适配</x:v>
      </x:c>
      <x:c r="D53" s="29" t="str">
        <x:v>BE-B</x:v>
      </x:c>
      <x:c r="E53" s="29" t="str">
        <x:v>P0</x:v>
      </x:c>
      <x:c r="F53" s="29" t="n">
        <x:v>10</x:v>
      </x:c>
      <x:c r="G53" s="29" t="n">
        <x:v>11</x:v>
      </x:c>
      <x:c r="H53" s="33" t="n">
        <x:v>4</x:v>
      </x:c>
      <x:c r="I53" s="37" t="n">
        <x:f>H53*(1+'项目总览'!$E$8)</x:f>
        <x:v>4.6</x:v>
      </x:c>
      <x:c r="J53" s="23" t="str">
        <x:v>S0-03;S2-06</x:v>
      </x:c>
      <x:c r="K53" s="23" t="str">
        <x:v>MCP 出站适配器与防腐层合同</x:v>
      </x:c>
      <x:c r="L53" s="23" t="str">
        <x:v>T15／T16；SDK 类型停留在 adapter；application 使用本地端口</x:v>
      </x:c>
      <x:c r="M53" s="23" t="str">
        <x:v>FR-011</x:v>
      </x:c>
      <x:c r="N53" s="23" t="str">
        <x:v>A07;G04</x:v>
      </x:c>
      <x:c r="O53" s="29" t="str">
        <x:v>未开始</x:v>
      </x:c>
      <x:c r="P53" s="41" t="n">
        <x:v>0</x:v>
      </x:c>
      <x:c r="Q53" s="37" t="n">
        <x:f>H53*P53</x:f>
        <x:v>0</x:v>
      </x:c>
      <x:c r="R53" s="29"/>
    </x:row>
    <x:row r="54" ht="70" customHeight="1">
      <x:c r="A54" s="26" t="str">
        <x:v>S3-06</x:v>
      </x:c>
      <x:c r="B54" s="26" t="str">
        <x:v>S3</x:v>
      </x:c>
      <x:c r="C54" s="28" t="str">
        <x:v>实现固定工具与动态元工具分发</x:v>
      </x:c>
      <x:c r="D54" s="28" t="str">
        <x:v>BE-B</x:v>
      </x:c>
      <x:c r="E54" s="28" t="str">
        <x:v>P0</x:v>
      </x:c>
      <x:c r="F54" s="28" t="n">
        <x:v>11</x:v>
      </x:c>
      <x:c r="G54" s="28" t="n">
        <x:v>12</x:v>
      </x:c>
      <x:c r="H54" s="32" t="n">
        <x:v>4</x:v>
      </x:c>
      <x:c r="I54" s="36" t="n">
        <x:f>H54*(1+'项目总览'!$E$8)</x:f>
        <x:v>4.6</x:v>
      </x:c>
      <x:c r="J54" s="26" t="str">
        <x:v>S3-01;S3-05</x:v>
      </x:c>
      <x:c r="K54" s="26" t="str">
        <x:v>MCP Gateway 与目标授权</x:v>
      </x:c>
      <x:c r="L54" s="26" t="str">
        <x:v>T14／T16；两种分发都走同一内核</x:v>
      </x:c>
      <x:c r="M54" s="26" t="str">
        <x:v>FR-009;FR-010</x:v>
      </x:c>
      <x:c r="N54" s="26" t="str">
        <x:v>A07</x:v>
      </x:c>
      <x:c r="O54" s="28" t="str">
        <x:v>未开始</x:v>
      </x:c>
      <x:c r="P54" s="40" t="n">
        <x:v>0</x:v>
      </x:c>
      <x:c r="Q54" s="36" t="n">
        <x:f>H54*P54</x:f>
        <x:v>0</x:v>
      </x:c>
      <x:c r="R54" s="28"/>
    </x:row>
    <x:row r="55" ht="70" customHeight="1">
      <x:c r="A55" s="23" t="str">
        <x:v>S3-07</x:v>
      </x:c>
      <x:c r="B55" s="23" t="str">
        <x:v>S3</x:v>
      </x:c>
      <x:c r="C55" s="29" t="str">
        <x:v>实现远程 Agent Adapter</x:v>
      </x:c>
      <x:c r="D55" s="29" t="str">
        <x:v>BE-B</x:v>
      </x:c>
      <x:c r="E55" s="29" t="str">
        <x:v>P0</x:v>
      </x:c>
      <x:c r="F55" s="29" t="n">
        <x:v>11</x:v>
      </x:c>
      <x:c r="G55" s="29" t="n">
        <x:v>13</x:v>
      </x:c>
      <x:c r="H55" s="33" t="n">
        <x:v>3</x:v>
      </x:c>
      <x:c r="I55" s="37" t="n">
        <x:f>H55*(1+'项目总览'!$E$8)</x:f>
        <x:v>3.4499999999999997</x:v>
      </x:c>
      <x:c r="J55" s="23" t="str">
        <x:v>S0-04;S3-03</x:v>
      </x:c>
      <x:c r="K55" s="23" t="str">
        <x:v>远程 Agent 出站适配器、状态与产物映射</x:v>
      </x:c>
      <x:c r="L55" s="23" t="str">
        <x:v>T17；Agent／A2A 类型不进入 Run 聚合；未知状态显式拒绝或待确认</x:v>
      </x:c>
      <x:c r="M55" s="23" t="str">
        <x:v>FR-012</x:v>
      </x:c>
      <x:c r="N55" s="23" t="str">
        <x:v>A08;G04</x:v>
      </x:c>
      <x:c r="O55" s="29" t="str">
        <x:v>未开始</x:v>
      </x:c>
      <x:c r="P55" s="41" t="n">
        <x:v>0</x:v>
      </x:c>
      <x:c r="Q55" s="37" t="n">
        <x:f>H55*P55</x:f>
        <x:v>0</x:v>
      </x:c>
      <x:c r="R55" s="29"/>
    </x:row>
    <x:row r="56" ht="70" customHeight="1">
      <x:c r="A56" s="26" t="str">
        <x:v>S3-08</x:v>
      </x:c>
      <x:c r="B56" s="26" t="str">
        <x:v>S3</x:v>
      </x:c>
      <x:c r="C56" s="28" t="str">
        <x:v>实现 MCP 取消、异步启动与兼容测试钩子</x:v>
      </x:c>
      <x:c r="D56" s="28" t="str">
        <x:v>BE-B</x:v>
      </x:c>
      <x:c r="E56" s="28" t="str">
        <x:v>P0</x:v>
      </x:c>
      <x:c r="F56" s="28" t="n">
        <x:v>12</x:v>
      </x:c>
      <x:c r="G56" s="28" t="n">
        <x:v>13</x:v>
      </x:c>
      <x:c r="H56" s="32" t="n">
        <x:v>2</x:v>
      </x:c>
      <x:c r="I56" s="36" t="n">
        <x:f>H56*(1+'项目总览'!$E$8)</x:f>
        <x:v>2.3</x:v>
      </x:c>
      <x:c r="J56" s="26" t="str">
        <x:v>S3-06;S3-07</x:v>
      </x:c>
      <x:c r="K56" s="26" t="str">
        <x:v>协议生命周期映射</x:v>
      </x:c>
      <x:c r="L56" s="26" t="str">
        <x:v>T40；不把断线等同删除持久 Run</x:v>
      </x:c>
      <x:c r="M56" s="26" t="str">
        <x:v>NFR-010</x:v>
      </x:c>
      <x:c r="N56" s="26" t="str">
        <x:v>A07</x:v>
      </x:c>
      <x:c r="O56" s="28" t="str">
        <x:v>未开始</x:v>
      </x:c>
      <x:c r="P56" s="40" t="n">
        <x:v>0</x:v>
      </x:c>
      <x:c r="Q56" s="36" t="n">
        <x:f>H56*P56</x:f>
        <x:v>0</x:v>
      </x:c>
      <x:c r="R56" s="28"/>
    </x:row>
    <x:row r="57" ht="70" customHeight="1">
      <x:c r="A57" s="23" t="str">
        <x:v>S3-09</x:v>
      </x:c>
      <x:c r="B57" s="23" t="str">
        <x:v>S3</x:v>
      </x:c>
      <x:c r="C57" s="29" t="str">
        <x:v>实现 Toolset 配置与安装体验</x:v>
      </x:c>
      <x:c r="D57" s="29" t="str">
        <x:v>FE</x:v>
      </x:c>
      <x:c r="E57" s="29" t="str">
        <x:v>P0</x:v>
      </x:c>
      <x:c r="F57" s="29" t="n">
        <x:v>10</x:v>
      </x:c>
      <x:c r="G57" s="29" t="n">
        <x:v>11</x:v>
      </x:c>
      <x:c r="H57" s="33" t="n">
        <x:v>4</x:v>
      </x:c>
      <x:c r="I57" s="37" t="n">
        <x:f>H57*(1+'项目总览'!$E$8)</x:f>
        <x:v>4.6</x:v>
      </x:c>
      <x:c r="J57" s="23" t="str">
        <x:v>S3-01</x:v>
      </x:c>
      <x:c r="K57" s="23" t="str">
        <x:v>工具集编辑、发布与连接说明</x:v>
      </x:c>
      <x:c r="L57" s="23" t="str">
        <x:v>支持版本锁定、风险和权限预览</x:v>
      </x:c>
      <x:c r="M57" s="23" t="str">
        <x:v>FR-009</x:v>
      </x:c>
      <x:c r="N57" s="23" t="str">
        <x:v>A14</x:v>
      </x:c>
      <x:c r="O57" s="29" t="str">
        <x:v>未开始</x:v>
      </x:c>
      <x:c r="P57" s="41" t="n">
        <x:v>0</x:v>
      </x:c>
      <x:c r="Q57" s="37" t="n">
        <x:f>H57*P57</x:f>
        <x:v>0</x:v>
      </x:c>
      <x:c r="R57" s="29"/>
    </x:row>
    <x:row r="58" ht="70" customHeight="1">
      <x:c r="A58" s="26" t="str">
        <x:v>S3-10</x:v>
      </x:c>
      <x:c r="B58" s="26" t="str">
        <x:v>S3</x:v>
      </x:c>
      <x:c r="C58" s="28" t="str">
        <x:v>实现 Connection 与授权状态页面</x:v>
      </x:c>
      <x:c r="D58" s="28" t="str">
        <x:v>FE</x:v>
      </x:c>
      <x:c r="E58" s="28" t="str">
        <x:v>P0</x:v>
      </x:c>
      <x:c r="F58" s="28" t="n">
        <x:v>11</x:v>
      </x:c>
      <x:c r="G58" s="28" t="n">
        <x:v>12</x:v>
      </x:c>
      <x:c r="H58" s="32" t="n">
        <x:v>3</x:v>
      </x:c>
      <x:c r="I58" s="36" t="n">
        <x:f>H58*(1+'项目总览'!$E$8)</x:f>
        <x:v>3.4499999999999997</x:v>
      </x:c>
      <x:c r="J58" s="26" t="str">
        <x:v>S3-02</x:v>
      </x:c>
      <x:c r="K58" s="26" t="str">
        <x:v>BYOK／OAuth 连接管理</x:v>
      </x:c>
      <x:c r="L58" s="26" t="str">
        <x:v>不展示完整秘密；支持失效和重新授权</x:v>
      </x:c>
      <x:c r="M58" s="26" t="str">
        <x:v>FR-006</x:v>
      </x:c>
      <x:c r="N58" s="26" t="str">
        <x:v>A14</x:v>
      </x:c>
      <x:c r="O58" s="28" t="str">
        <x:v>未开始</x:v>
      </x:c>
      <x:c r="P58" s="40" t="n">
        <x:v>0</x:v>
      </x:c>
      <x:c r="Q58" s="36" t="n">
        <x:f>H58*P58</x:f>
        <x:v>0</x:v>
      </x:c>
      <x:c r="R58" s="28"/>
    </x:row>
    <x:row r="59" ht="70" customHeight="1">
      <x:c r="A59" s="23" t="str">
        <x:v>S3-11</x:v>
      </x:c>
      <x:c r="B59" s="23" t="str">
        <x:v>S3</x:v>
      </x:c>
      <x:c r="C59" s="29" t="str">
        <x:v>实现 Agent 运行与产物界面</x:v>
      </x:c>
      <x:c r="D59" s="29" t="str">
        <x:v>FE</x:v>
      </x:c>
      <x:c r="E59" s="29" t="str">
        <x:v>P0</x:v>
      </x:c>
      <x:c r="F59" s="29" t="n">
        <x:v>12</x:v>
      </x:c>
      <x:c r="G59" s="29" t="n">
        <x:v>13</x:v>
      </x:c>
      <x:c r="H59" s="33" t="n">
        <x:v>3</x:v>
      </x:c>
      <x:c r="I59" s="37" t="n">
        <x:f>H59*(1+'项目总览'!$E$8)</x:f>
        <x:v>3.4499999999999997</x:v>
      </x:c>
      <x:c r="J59" s="23" t="str">
        <x:v>S3-03;S3-07</x:v>
      </x:c>
      <x:c r="K59" s="23" t="str">
        <x:v>异步／取消／输入请求视图</x:v>
      </x:c>
      <x:c r="L59" s="23" t="str">
        <x:v>未知结果不得展示为成功取消；产物按需加载</x:v>
      </x:c>
      <x:c r="M59" s="23" t="str">
        <x:v>FR-012;FR-022</x:v>
      </x:c>
      <x:c r="N59" s="23" t="str">
        <x:v>A14</x:v>
      </x:c>
      <x:c r="O59" s="29" t="str">
        <x:v>未开始</x:v>
      </x:c>
      <x:c r="P59" s="41" t="n">
        <x:v>0</x:v>
      </x:c>
      <x:c r="Q59" s="37" t="n">
        <x:f>H59*P59</x:f>
        <x:v>0</x:v>
      </x:c>
      <x:c r="R59" s="29"/>
    </x:row>
    <x:row r="60" ht="70" customHeight="1">
      <x:c r="A60" s="26" t="str">
        <x:v>S3-12</x:v>
      </x:c>
      <x:c r="B60" s="26" t="str">
        <x:v>S3</x:v>
      </x:c>
      <x:c r="C60" s="28" t="str">
        <x:v>补齐多入口引导及兼容状态</x:v>
      </x:c>
      <x:c r="D60" s="28" t="str">
        <x:v>FE</x:v>
      </x:c>
      <x:c r="E60" s="28" t="str">
        <x:v>P0</x:v>
      </x:c>
      <x:c r="F60" s="28" t="n">
        <x:v>12</x:v>
      </x:c>
      <x:c r="G60" s="28" t="n">
        <x:v>13</x:v>
      </x:c>
      <x:c r="H60" s="32" t="n">
        <x:v>2</x:v>
      </x:c>
      <x:c r="I60" s="36" t="n">
        <x:f>H60*(1+'项目总览'!$E$8)</x:f>
        <x:v>2.3</x:v>
      </x:c>
      <x:c r="J60" s="26" t="str">
        <x:v>S3-06;S3-09</x:v>
      </x:c>
      <x:c r="K60" s="26" t="str">
        <x:v>MCP 连接检测与能力提示</x:v>
      </x:c>
      <x:c r="L60" s="26" t="str">
        <x:v>只显示已验证的客户端／版本支持</x:v>
      </x:c>
      <x:c r="M60" s="26" t="str">
        <x:v>FR-010;FR-011</x:v>
      </x:c>
      <x:c r="N60" s="26" t="str">
        <x:v>A14</x:v>
      </x:c>
      <x:c r="O60" s="28" t="str">
        <x:v>未开始</x:v>
      </x:c>
      <x:c r="P60" s="40" t="n">
        <x:v>0</x:v>
      </x:c>
      <x:c r="Q60" s="36" t="n">
        <x:f>H60*P60</x:f>
        <x:v>0</x:v>
      </x:c>
      <x:c r="R60" s="28"/>
    </x:row>
    <x:row r="61" ht="70" customHeight="1">
      <x:c r="A61" s="23" t="str">
        <x:v>S3-13</x:v>
      </x:c>
      <x:c r="B61" s="23" t="str">
        <x:v>S3</x:v>
      </x:c>
      <x:c r="C61" s="29" t="str">
        <x:v>执行协议兼容与头部授权测试</x:v>
      </x:c>
      <x:c r="D61" s="29" t="str">
        <x:v>QA</x:v>
      </x:c>
      <x:c r="E61" s="29" t="str">
        <x:v>P0</x:v>
      </x:c>
      <x:c r="F61" s="29" t="n">
        <x:v>10</x:v>
      </x:c>
      <x:c r="G61" s="29" t="n">
        <x:v>12</x:v>
      </x:c>
      <x:c r="H61" s="33" t="n">
        <x:v>4</x:v>
      </x:c>
      <x:c r="I61" s="37" t="n">
        <x:f>H61*(1+'项目总览'!$E$8)</x:f>
        <x:v>4.6</x:v>
      </x:c>
      <x:c r="J61" s="23" t="str">
        <x:v>S3-05;S3-06</x:v>
      </x:c>
      <x:c r="K61" s="23" t="str">
        <x:v>T13–T16／T40 报告</x:v>
      </x:c>
      <x:c r="L61" s="23" t="str">
        <x:v>覆盖新版、选定旧版、错误降级与元工具绕过</x:v>
      </x:c>
      <x:c r="M61" s="23" t="str">
        <x:v>FR-011;NFR-010</x:v>
      </x:c>
      <x:c r="N61" s="23" t="str">
        <x:v>A16</x:v>
      </x:c>
      <x:c r="O61" s="29" t="str">
        <x:v>未开始</x:v>
      </x:c>
      <x:c r="P61" s="41" t="n">
        <x:v>0</x:v>
      </x:c>
      <x:c r="Q61" s="37" t="n">
        <x:f>H61*P61</x:f>
        <x:v>0</x:v>
      </x:c>
      <x:c r="R61" s="29"/>
    </x:row>
    <x:row r="62" ht="70" customHeight="1">
      <x:c r="A62" s="26" t="str">
        <x:v>S3-14</x:v>
      </x:c>
      <x:c r="B62" s="26" t="str">
        <x:v>S3</x:v>
      </x:c>
      <x:c r="C62" s="28" t="str">
        <x:v>执行 OAuth、Agent、回调与产物测试</x:v>
      </x:c>
      <x:c r="D62" s="28" t="str">
        <x:v>QA</x:v>
      </x:c>
      <x:c r="E62" s="28" t="str">
        <x:v>P0</x:v>
      </x:c>
      <x:c r="F62" s="28" t="n">
        <x:v>11</x:v>
      </x:c>
      <x:c r="G62" s="28" t="n">
        <x:v>13</x:v>
      </x:c>
      <x:c r="H62" s="32" t="n">
        <x:v>4</x:v>
      </x:c>
      <x:c r="I62" s="36" t="n">
        <x:f>H62*(1+'项目总览'!$E$8)</x:f>
        <x:v>4.6</x:v>
      </x:c>
      <x:c r="J62" s="26" t="str">
        <x:v>S3-02;S3-03;S3-04;S3-07</x:v>
      </x:c>
      <x:c r="K62" s="26" t="str">
        <x:v>T07／T08／T17／T28／T30</x:v>
      </x:c>
      <x:c r="L62" s="26" t="str">
        <x:v>重放、并发刷新、乱序回调与跨租户全通过</x:v>
      </x:c>
      <x:c r="M62" s="26" t="str">
        <x:v>FR-006;FR-012</x:v>
      </x:c>
      <x:c r="N62" s="26" t="str">
        <x:v>A16</x:v>
      </x:c>
      <x:c r="O62" s="28" t="str">
        <x:v>未开始</x:v>
      </x:c>
      <x:c r="P62" s="40" t="n">
        <x:v>0</x:v>
      </x:c>
      <x:c r="Q62" s="36" t="n">
        <x:f>H62*P62</x:f>
        <x:v>0</x:v>
      </x:c>
      <x:c r="R62" s="28"/>
    </x:row>
    <x:row r="63" ht="70" customHeight="1">
      <x:c r="A63" s="23" t="str">
        <x:v>S3-15</x:v>
      </x:c>
      <x:c r="B63" s="23" t="str">
        <x:v>S3</x:v>
      </x:c>
      <x:c r="C63" s="29" t="str">
        <x:v>执行三类能力端到端内测</x:v>
      </x:c>
      <x:c r="D63" s="29" t="str">
        <x:v>QA</x:v>
      </x:c>
      <x:c r="E63" s="29" t="str">
        <x:v>P0</x:v>
      </x:c>
      <x:c r="F63" s="29" t="n">
        <x:v>13</x:v>
      </x:c>
      <x:c r="G63" s="29" t="n">
        <x:v>13</x:v>
      </x:c>
      <x:c r="H63" s="33" t="n">
        <x:v>2</x:v>
      </x:c>
      <x:c r="I63" s="37" t="n">
        <x:f>H63*(1+'项目总览'!$E$8)</x:f>
        <x:v>2.3</x:v>
      </x:c>
      <x:c r="J63" s="23" t="str">
        <x:v>S3-09;S3-10;S3-11;S3-12</x:v>
      </x:c>
      <x:c r="K63" s="23" t="str">
        <x:v>G3 证据包</x:v>
      </x:c>
      <x:c r="L63" s="23" t="str">
        <x:v>同一用户通过三种来源完成可追踪调用</x:v>
      </x:c>
      <x:c r="M63" s="23" t="str">
        <x:v>FR-009;FR-012</x:v>
      </x:c>
      <x:c r="N63" s="23" t="str">
        <x:v>B06</x:v>
      </x:c>
      <x:c r="O63" s="29" t="str">
        <x:v>未开始</x:v>
      </x:c>
      <x:c r="P63" s="41" t="n">
        <x:v>0</x:v>
      </x:c>
      <x:c r="Q63" s="37" t="n">
        <x:f>H63*P63</x:f>
        <x:v>0</x:v>
      </x:c>
      <x:c r="R63" s="29"/>
    </x:row>
    <x:row r="64" ht="70" customHeight="1">
      <x:c r="A64" s="26" t="str">
        <x:v>S3-16</x:v>
      </x:c>
      <x:c r="B64" s="26" t="str">
        <x:v>S3</x:v>
      </x:c>
      <x:c r="C64" s="28" t="str">
        <x:v>配置流式代理、超时与网络策略</x:v>
      </x:c>
      <x:c r="D64" s="28" t="str">
        <x:v>SRE</x:v>
      </x:c>
      <x:c r="E64" s="28" t="str">
        <x:v>P0</x:v>
      </x:c>
      <x:c r="F64" s="28" t="n">
        <x:v>10</x:v>
      </x:c>
      <x:c r="G64" s="28" t="n">
        <x:v>12</x:v>
      </x:c>
      <x:c r="H64" s="32" t="n">
        <x:v>3</x:v>
      </x:c>
      <x:c r="I64" s="36" t="n">
        <x:f>H64*(1+'项目总览'!$E$8)</x:f>
        <x:v>3.4499999999999997</x:v>
      </x:c>
      <x:c r="J64" s="26" t="str">
        <x:v>S1-14;S3-05</x:v>
      </x:c>
      <x:c r="K64" s="26" t="str">
        <x:v>MCP／应用 SSE 的独立代理配置</x:v>
      </x:c>
      <x:c r="L64" s="26" t="str">
        <x:v>不缓冲响应；协议流与应用事件重连规则分开</x:v>
      </x:c>
      <x:c r="M64" s="26" t="str">
        <x:v>NFR-010</x:v>
      </x:c>
      <x:c r="N64" s="26" t="str">
        <x:v>A15</x:v>
      </x:c>
      <x:c r="O64" s="28" t="str">
        <x:v>未开始</x:v>
      </x:c>
      <x:c r="P64" s="40" t="n">
        <x:v>0</x:v>
      </x:c>
      <x:c r="Q64" s="36" t="n">
        <x:f>H64*P64</x:f>
        <x:v>0</x:v>
      </x:c>
      <x:c r="R64" s="28"/>
    </x:row>
    <x:row r="65" ht="70" customHeight="1">
      <x:c r="A65" s="23" t="str">
        <x:v>S3-17</x:v>
      </x:c>
      <x:c r="B65" s="23" t="str">
        <x:v>S3</x:v>
      </x:c>
      <x:c r="C65" s="29" t="str">
        <x:v>配置对象保留和授权回调安全</x:v>
      </x:c>
      <x:c r="D65" s="29" t="str">
        <x:v>SRE</x:v>
      </x:c>
      <x:c r="E65" s="29" t="str">
        <x:v>P0</x:v>
      </x:c>
      <x:c r="F65" s="29" t="n">
        <x:v>12</x:v>
      </x:c>
      <x:c r="G65" s="29" t="n">
        <x:v>13</x:v>
      </x:c>
      <x:c r="H65" s="33" t="n">
        <x:v>2</x:v>
      </x:c>
      <x:c r="I65" s="37" t="n">
        <x:f>H65*(1+'项目总览'!$E$8)</x:f>
        <x:v>2.3</x:v>
      </x:c>
      <x:c r="J65" s="23" t="str">
        <x:v>S3-03;S3-04</x:v>
      </x:c>
      <x:c r="K65" s="23" t="str">
        <x:v>对象权限和回调告警</x:v>
      </x:c>
      <x:c r="L65" s="23" t="str">
        <x:v>删除／到期验证，回调失败可审计</x:v>
      </x:c>
      <x:c r="M65" s="23" t="str">
        <x:v>FR-020;FR-022</x:v>
      </x:c>
      <x:c r="N65" s="23" t="str">
        <x:v>A15</x:v>
      </x:c>
      <x:c r="O65" s="29" t="str">
        <x:v>未开始</x:v>
      </x:c>
      <x:c r="P65" s="41" t="n">
        <x:v>0</x:v>
      </x:c>
      <x:c r="Q65" s="37" t="n">
        <x:f>H65*P65</x:f>
        <x:v>0</x:v>
      </x:c>
      <x:c r="R65" s="29"/>
    </x:row>
    <x:row r="66" ht="70" customHeight="1">
      <x:c r="A66" s="26" t="str">
        <x:v>S3-18</x:v>
      </x:c>
      <x:c r="B66" s="26" t="str">
        <x:v>S3</x:v>
      </x:c>
      <x:c r="C66" s="28" t="str">
        <x:v>完成客户端验收名单与 G3 评审</x:v>
      </x:c>
      <x:c r="D66" s="28" t="str">
        <x:v>PM</x:v>
      </x:c>
      <x:c r="E66" s="28" t="str">
        <x:v>P0</x:v>
      </x:c>
      <x:c r="F66" s="28" t="n">
        <x:v>12</x:v>
      </x:c>
      <x:c r="G66" s="28" t="n">
        <x:v>13</x:v>
      </x:c>
      <x:c r="H66" s="32" t="n">
        <x:v>2</x:v>
      </x:c>
      <x:c r="I66" s="36" t="n">
        <x:f>H66*(1+'项目总览'!$E$8)</x:f>
        <x:v>2.3</x:v>
      </x:c>
      <x:c r="J66" s="26" t="str">
        <x:v>S3-15;S3-17</x:v>
      </x:c>
      <x:c r="K66" s="26" t="str">
        <x:v>兼容名单、用户反馈与 G3 决议</x:v>
      </x:c>
      <x:c r="L66" s="26" t="str">
        <x:v>不把 SDK 支持等同所有客户端支持</x:v>
      </x:c>
      <x:c r="M66" s="26" t="str">
        <x:v>FR-011</x:v>
      </x:c>
      <x:c r="N66" s="26" t="str">
        <x:v>B06</x:v>
      </x:c>
      <x:c r="O66" s="28" t="str">
        <x:v>未开始</x:v>
      </x:c>
      <x:c r="P66" s="40" t="n">
        <x:v>0</x:v>
      </x:c>
      <x:c r="Q66" s="36" t="n">
        <x:f>H66*P66</x:f>
        <x:v>0</x:v>
      </x:c>
      <x:c r="R66" s="28"/>
    </x:row>
    <x:row r="67" ht="70" customHeight="1">
      <x:c r="A67" s="23" t="str">
        <x:v>S4-01</x:v>
      </x:c>
      <x:c r="B67" s="23" t="str">
        <x:v>S4</x:v>
      </x:c>
      <x:c r="C67" s="29" t="str">
        <x:v>实现插件清单校验与发布状态机</x:v>
      </x:c>
      <x:c r="D67" s="29" t="str">
        <x:v>BE-A</x:v>
      </x:c>
      <x:c r="E67" s="29" t="str">
        <x:v>P0</x:v>
      </x:c>
      <x:c r="F67" s="29" t="n">
        <x:v>14</x:v>
      </x:c>
      <x:c r="G67" s="29" t="n">
        <x:v>15</x:v>
      </x:c>
      <x:c r="H67" s="33" t="n">
        <x:v>3</x:v>
      </x:c>
      <x:c r="I67" s="37" t="n">
        <x:f>H67*(1+'项目总览'!$E$8)</x:f>
        <x:v>3.4499999999999997</x:v>
      </x:c>
      <x:c r="J67" s="23" t="str">
        <x:v>S2-01;S3-01</x:v>
      </x:c>
      <x:c r="K67" s="23" t="str">
        <x:v>supply 发布聚合、审核用例与运行时端口</x:v>
      </x:c>
      <x:c r="L67" s="23" t="str">
        <x:v>T22；插件只能实现受控端口，不依赖内核内部包或直接改账本</x:v>
      </x:c>
      <x:c r="M67" s="23" t="str">
        <x:v>FR-015</x:v>
      </x:c>
      <x:c r="N67" s="23" t="str">
        <x:v>A09;G02;G04</x:v>
      </x:c>
      <x:c r="O67" s="29" t="str">
        <x:v>未开始</x:v>
      </x:c>
      <x:c r="P67" s="41" t="n">
        <x:v>0</x:v>
      </x:c>
      <x:c r="Q67" s="37" t="n">
        <x:f>H67*P67</x:f>
        <x:v>0</x:v>
      </x:c>
      <x:c r="R67" s="29"/>
    </x:row>
    <x:row r="68" ht="70" customHeight="1">
      <x:c r="A68" s="26" t="str">
        <x:v>S4-02</x:v>
      </x:c>
      <x:c r="B68" s="26" t="str">
        <x:v>S4</x:v>
      </x:c>
      <x:c r="C68" s="28" t="str">
        <x:v>实现危险操作审批与 JIT 管理授权</x:v>
      </x:c>
      <x:c r="D68" s="28" t="str">
        <x:v>BE-A</x:v>
      </x:c>
      <x:c r="E68" s="28" t="str">
        <x:v>P0</x:v>
      </x:c>
      <x:c r="F68" s="28" t="n">
        <x:v>14</x:v>
      </x:c>
      <x:c r="G68" s="28" t="n">
        <x:v>16</x:v>
      </x:c>
      <x:c r="H68" s="32" t="n">
        <x:v>3</x:v>
      </x:c>
      <x:c r="I68" s="36" t="n">
        <x:f>H68*(1+'项目总览'!$E$8)</x:f>
        <x:v>3.4499999999999997</x:v>
      </x:c>
      <x:c r="J68" s="26" t="str">
        <x:v>S1-03;S3-02</x:v>
      </x:c>
      <x:c r="K68" s="26" t="str">
        <x:v>审批合同、消费标记与审计</x:v>
      </x:c>
      <x:c r="L68" s="26" t="str">
        <x:v>T24／T26；审批不由模型字段代替</x:v>
      </x:c>
      <x:c r="M68" s="26" t="str">
        <x:v>FR-016;FR-018</x:v>
      </x:c>
      <x:c r="N68" s="26" t="str">
        <x:v>A10</x:v>
      </x:c>
      <x:c r="O68" s="28" t="str">
        <x:v>未开始</x:v>
      </x:c>
      <x:c r="P68" s="40" t="n">
        <x:v>0</x:v>
      </x:c>
      <x:c r="Q68" s="36" t="n">
        <x:f>H68*P68</x:f>
        <x:v>0</x:v>
      </x:c>
      <x:c r="R68" s="28"/>
    </x:row>
    <x:row r="69" ht="70" customHeight="1">
      <x:c r="A69" s="23" t="str">
        <x:v>S4-03</x:v>
      </x:c>
      <x:c r="B69" s="23" t="str">
        <x:v>S4</x:v>
      </x:c>
      <x:c r="C69" s="29" t="str">
        <x:v>实现账单、调账和退款补充分录</x:v>
      </x:c>
      <x:c r="D69" s="29" t="str">
        <x:v>BE-A</x:v>
      </x:c>
      <x:c r="E69" s="29" t="str">
        <x:v>P0</x:v>
      </x:c>
      <x:c r="F69" s="29" t="n">
        <x:v>15</x:v>
      </x:c>
      <x:c r="G69" s="29" t="n">
        <x:v>17</x:v>
      </x:c>
      <x:c r="H69" s="33" t="n">
        <x:v>3</x:v>
      </x:c>
      <x:c r="I69" s="37" t="n">
        <x:f>H69*(1+'项目总览'!$E$8)</x:f>
        <x:v>3.4499999999999997</x:v>
      </x:c>
      <x:c r="J69" s="23" t="str">
        <x:v>S2-04</x:v>
      </x:c>
      <x:c r="K69" s="23" t="str">
        <x:v>账单聚合、退款与对账工具</x:v>
      </x:c>
      <x:c r="L69" s="23" t="str">
        <x:v>T20／T21；不修改原分录；必须有业务依据</x:v>
      </x:c>
      <x:c r="M69" s="23" t="str">
        <x:v>FR-014;FR-019</x:v>
      </x:c>
      <x:c r="N69" s="23" t="str">
        <x:v>A11</x:v>
      </x:c>
      <x:c r="O69" s="29" t="str">
        <x:v>未开始</x:v>
      </x:c>
      <x:c r="P69" s="41" t="n">
        <x:v>0</x:v>
      </x:c>
      <x:c r="Q69" s="37" t="n">
        <x:f>H69*P69</x:f>
        <x:v>0</x:v>
      </x:c>
      <x:c r="R69" s="29"/>
    </x:row>
    <x:row r="70" ht="70" customHeight="1">
      <x:c r="A70" s="26" t="str">
        <x:v>S4-04</x:v>
      </x:c>
      <x:c r="B70" s="26" t="str">
        <x:v>S4</x:v>
      </x:c>
      <x:c r="C70" s="28" t="str">
        <x:v>实现灰度、排空、回退和禁用开关</x:v>
      </x:c>
      <x:c r="D70" s="28" t="str">
        <x:v>BE-A</x:v>
      </x:c>
      <x:c r="E70" s="28" t="str">
        <x:v>P0</x:v>
      </x:c>
      <x:c r="F70" s="28" t="n">
        <x:v>15</x:v>
      </x:c>
      <x:c r="G70" s="28" t="n">
        <x:v>17</x:v>
      </x:c>
      <x:c r="H70" s="32" t="n">
        <x:v>3</x:v>
      </x:c>
      <x:c r="I70" s="36" t="n">
        <x:f>H70*(1+'项目总览'!$E$8)</x:f>
        <x:v>3.4499999999999997</x:v>
      </x:c>
      <x:c r="J70" s="26" t="str">
        <x:v>S4-01</x:v>
      </x:c>
      <x:c r="K70" s="26" t="str">
        <x:v>路由原子切换与事故开关</x:v>
      </x:c>
      <x:c r="L70" s="26" t="str">
        <x:v>T23；禁用与普通升级语义分离</x:v>
      </x:c>
      <x:c r="M70" s="26" t="str">
        <x:v>FR-015</x:v>
      </x:c>
      <x:c r="N70" s="26" t="str">
        <x:v>A09</x:v>
      </x:c>
      <x:c r="O70" s="28" t="str">
        <x:v>未开始</x:v>
      </x:c>
      <x:c r="P70" s="40" t="n">
        <x:v>0</x:v>
      </x:c>
      <x:c r="Q70" s="36" t="n">
        <x:f>H70*P70</x:f>
        <x:v>0</x:v>
      </x:c>
      <x:c r="R70" s="28"/>
    </x:row>
    <x:row r="71" ht="70" customHeight="1">
      <x:c r="A71" s="23" t="str">
        <x:v>S4-05</x:v>
      </x:c>
      <x:c r="B71" s="23" t="str">
        <x:v>S4</x:v>
      </x:c>
      <x:c r="C71" s="29" t="str">
        <x:v>实现供应商与平台 Admin 管理能力</x:v>
      </x:c>
      <x:c r="D71" s="29" t="str">
        <x:v>BE-B</x:v>
      </x:c>
      <x:c r="E71" s="29" t="str">
        <x:v>P0</x:v>
      </x:c>
      <x:c r="F71" s="29" t="n">
        <x:v>14</x:v>
      </x:c>
      <x:c r="G71" s="29" t="n">
        <x:v>15</x:v>
      </x:c>
      <x:c r="H71" s="33" t="n">
        <x:v>3</x:v>
      </x:c>
      <x:c r="I71" s="37" t="n">
        <x:f>H71*(1+'项目总览'!$E$8)</x:f>
        <x:v>3.4499999999999997</x:v>
      </x:c>
      <x:c r="J71" s="23" t="str">
        <x:v>S1-06;S3-04</x:v>
      </x:c>
      <x:c r="K71" s="23" t="str">
        <x:v>审核、工作区冻结与异常处理</x:v>
      </x:c>
      <x:c r="L71" s="23" t="str">
        <x:v>T26；支持操作理由和审计导出</x:v>
      </x:c>
      <x:c r="M71" s="23" t="str">
        <x:v>FR-018</x:v>
      </x:c>
      <x:c r="N71" s="23" t="str">
        <x:v>A14</x:v>
      </x:c>
      <x:c r="O71" s="29" t="str">
        <x:v>未开始</x:v>
      </x:c>
      <x:c r="P71" s="41" t="n">
        <x:v>0</x:v>
      </x:c>
      <x:c r="Q71" s="37" t="n">
        <x:f>H71*P71</x:f>
        <x:v>0</x:v>
      </x:c>
      <x:c r="R71" s="29"/>
    </x:row>
    <x:row r="72" ht="70" customHeight="1">
      <x:c r="A72" s="26" t="str">
        <x:v>S4-06</x:v>
      </x:c>
      <x:c r="B72" s="26" t="str">
        <x:v>S4</x:v>
      </x:c>
      <x:c r="C72" s="28" t="str">
        <x:v>实现支付供应商适配与回调对账</x:v>
      </x:c>
      <x:c r="D72" s="28" t="str">
        <x:v>BE-B</x:v>
      </x:c>
      <x:c r="E72" s="28" t="str">
        <x:v>P1</x:v>
      </x:c>
      <x:c r="F72" s="28" t="n">
        <x:v>14</x:v>
      </x:c>
      <x:c r="G72" s="28" t="n">
        <x:v>16</x:v>
      </x:c>
      <x:c r="H72" s="32" t="n">
        <x:v>4</x:v>
      </x:c>
      <x:c r="I72" s="36" t="n">
        <x:f>H72*(1+'项目总览'!$E$8)</x:f>
        <x:v>4.6</x:v>
      </x:c>
      <x:c r="J72" s="26" t="str">
        <x:v>S2-04;S0-09</x:v>
      </x:c>
      <x:c r="K72" s="26" t="str">
        <x:v>选定供应商 sandbox 集成</x:v>
      </x:c>
      <x:c r="L72" s="26" t="str">
        <x:v>T27；地区／币种未定时仅交付模拟适配并阻断真金上线</x:v>
      </x:c>
      <x:c r="M72" s="26" t="str">
        <x:v>FR-019</x:v>
      </x:c>
      <x:c r="N72" s="26" t="str">
        <x:v>A11</x:v>
      </x:c>
      <x:c r="O72" s="28" t="str">
        <x:v>未开始</x:v>
      </x:c>
      <x:c r="P72" s="40" t="n">
        <x:v>0</x:v>
      </x:c>
      <x:c r="Q72" s="36" t="n">
        <x:f>H72*P72</x:f>
        <x:v>0</x:v>
      </x:c>
      <x:c r="R72" s="28"/>
    </x:row>
    <x:row r="73" ht="70" customHeight="1">
      <x:c r="A73" s="23" t="str">
        <x:v>S4-07</x:v>
      </x:c>
      <x:c r="B73" s="23" t="str">
        <x:v>S4</x:v>
      </x:c>
      <x:c r="C73" s="29" t="str">
        <x:v>实现 CLI 与 Skill 分发合同</x:v>
      </x:c>
      <x:c r="D73" s="29" t="str">
        <x:v>BE-B</x:v>
      </x:c>
      <x:c r="E73" s="29" t="str">
        <x:v>P1</x:v>
      </x:c>
      <x:c r="F73" s="29" t="n">
        <x:v>15</x:v>
      </x:c>
      <x:c r="G73" s="29" t="n">
        <x:v>16</x:v>
      </x:c>
      <x:c r="H73" s="33" t="n">
        <x:v>2</x:v>
      </x:c>
      <x:c r="I73" s="37" t="n">
        <x:f>H73*(1+'项目总览'!$E$8)</x:f>
        <x:v>2.3</x:v>
      </x:c>
      <x:c r="J73" s="23" t="str">
        <x:v>S3-06</x:v>
      </x:c>
      <x:c r="K73" s="23" t="str">
        <x:v>命令、安装说明与共享客户端合同</x:v>
      </x:c>
      <x:c r="L73" s="23" t="str">
        <x:v>T29；不在文档或聊天中嵌入长期秘密</x:v>
      </x:c>
      <x:c r="M73" s="23" t="str">
        <x:v>FR-021</x:v>
      </x:c>
      <x:c r="N73" s="23" t="str">
        <x:v>A07</x:v>
      </x:c>
      <x:c r="O73" s="29" t="str">
        <x:v>未开始</x:v>
      </x:c>
      <x:c r="P73" s="41" t="n">
        <x:v>0</x:v>
      </x:c>
      <x:c r="Q73" s="37" t="n">
        <x:f>H73*P73</x:f>
        <x:v>0</x:v>
      </x:c>
      <x:c r="R73" s="29"/>
    </x:row>
    <x:row r="74" ht="70" customHeight="1">
      <x:c r="A74" s="26" t="str">
        <x:v>S4-08</x:v>
      </x:c>
      <x:c r="B74" s="26" t="str">
        <x:v>S4</x:v>
      </x:c>
      <x:c r="C74" s="28" t="str">
        <x:v>实现发布质量与健康检查任务</x:v>
      </x:c>
      <x:c r="D74" s="28" t="str">
        <x:v>BE-B</x:v>
      </x:c>
      <x:c r="E74" s="28" t="str">
        <x:v>P0</x:v>
      </x:c>
      <x:c r="F74" s="28" t="n">
        <x:v>16</x:v>
      </x:c>
      <x:c r="G74" s="28" t="n">
        <x:v>17</x:v>
      </x:c>
      <x:c r="H74" s="32" t="n">
        <x:v>3</x:v>
      </x:c>
      <x:c r="I74" s="36" t="n">
        <x:f>H74*(1+'项目总览'!$E$8)</x:f>
        <x:v>3.4499999999999997</x:v>
      </x:c>
      <x:c r="J74" s="26" t="str">
        <x:v>S4-01;S4-05</x:v>
      </x:c>
      <x:c r="K74" s="26" t="str">
        <x:v>Schema 差异、合成探测与质量视图</x:v>
      </x:c>
      <x:c r="L74" s="26" t="str">
        <x:v>变更上游不会自动覆盖当前版本</x:v>
      </x:c>
      <x:c r="M74" s="26" t="str">
        <x:v>FR-015;FR-023</x:v>
      </x:c>
      <x:c r="N74" s="26" t="str">
        <x:v>A09</x:v>
      </x:c>
      <x:c r="O74" s="28" t="str">
        <x:v>未开始</x:v>
      </x:c>
      <x:c r="P74" s="40" t="n">
        <x:v>0</x:v>
      </x:c>
      <x:c r="Q74" s="36" t="n">
        <x:f>H74*P74</x:f>
        <x:v>0</x:v>
      </x:c>
      <x:c r="R74" s="28"/>
    </x:row>
    <x:row r="75" ht="70" customHeight="1">
      <x:c r="A75" s="23" t="str">
        <x:v>S4-09</x:v>
      </x:c>
      <x:c r="B75" s="23" t="str">
        <x:v>S4</x:v>
      </x:c>
      <x:c r="C75" s="29" t="str">
        <x:v>实现发布者草稿、测试与提交页面</x:v>
      </x:c>
      <x:c r="D75" s="29" t="str">
        <x:v>FE</x:v>
      </x:c>
      <x:c r="E75" s="29" t="str">
        <x:v>P1</x:v>
      </x:c>
      <x:c r="F75" s="29" t="n">
        <x:v>14</x:v>
      </x:c>
      <x:c r="G75" s="29" t="n">
        <x:v>15</x:v>
      </x:c>
      <x:c r="H75" s="33" t="n">
        <x:v>4</x:v>
      </x:c>
      <x:c r="I75" s="37" t="n">
        <x:f>H75*(1+'项目总览'!$E$8)</x:f>
        <x:v>4.6</x:v>
      </x:c>
      <x:c r="J75" s="23" t="str">
        <x:v>S4-01</x:v>
      </x:c>
      <x:c r="K75" s="23" t="str">
        <x:v>邀请制发布者工作台</x:v>
      </x:c>
      <x:c r="L75" s="23" t="str">
        <x:v>T31；禁止自审与未审核发布</x:v>
      </x:c>
      <x:c r="M75" s="23" t="str">
        <x:v>FR-023</x:v>
      </x:c>
      <x:c r="N75" s="23" t="str">
        <x:v>A14</x:v>
      </x:c>
      <x:c r="O75" s="29" t="str">
        <x:v>未开始</x:v>
      </x:c>
      <x:c r="P75" s="41" t="n">
        <x:v>0</x:v>
      </x:c>
      <x:c r="Q75" s="37" t="n">
        <x:f>H75*P75</x:f>
        <x:v>0</x:v>
      </x:c>
      <x:c r="R75" s="29"/>
    </x:row>
    <x:row r="76" ht="70" customHeight="1">
      <x:c r="A76" s="26" t="str">
        <x:v>S4-10</x:v>
      </x:c>
      <x:c r="B76" s="26" t="str">
        <x:v>S4</x:v>
      </x:c>
      <x:c r="C76" s="28" t="str">
        <x:v>实现 Admin 审核、异常与 JIT 界面</x:v>
      </x:c>
      <x:c r="D76" s="28" t="str">
        <x:v>FE</x:v>
      </x:c>
      <x:c r="E76" s="28" t="str">
        <x:v>P0</x:v>
      </x:c>
      <x:c r="F76" s="28" t="n">
        <x:v>15</x:v>
      </x:c>
      <x:c r="G76" s="28" t="n">
        <x:v>16</x:v>
      </x:c>
      <x:c r="H76" s="32" t="n">
        <x:v>4</x:v>
      </x:c>
      <x:c r="I76" s="36" t="n">
        <x:f>H76*(1+'项目总览'!$E$8)</x:f>
        <x:v>4.6</x:v>
      </x:c>
      <x:c r="J76" s="26" t="str">
        <x:v>S4-02;S4-05</x:v>
      </x:c>
      <x:c r="K76" s="26" t="str">
        <x:v>后台管理关键页面</x:v>
      </x:c>
      <x:c r="L76" s="26" t="str">
        <x:v>T26；敏感操作需原因、确认及权限</x:v>
      </x:c>
      <x:c r="M76" s="26" t="str">
        <x:v>FR-018</x:v>
      </x:c>
      <x:c r="N76" s="26" t="str">
        <x:v>A14</x:v>
      </x:c>
      <x:c r="O76" s="28" t="str">
        <x:v>未开始</x:v>
      </x:c>
      <x:c r="P76" s="40" t="n">
        <x:v>0</x:v>
      </x:c>
      <x:c r="Q76" s="36" t="n">
        <x:f>H76*P76</x:f>
        <x:v>0</x:v>
      </x:c>
      <x:c r="R76" s="28"/>
    </x:row>
    <x:row r="77" ht="70" customHeight="1">
      <x:c r="A77" s="23" t="str">
        <x:v>S4-11</x:v>
      </x:c>
      <x:c r="B77" s="23" t="str">
        <x:v>S4</x:v>
      </x:c>
      <x:c r="C77" s="29" t="str">
        <x:v>实现账单、支付及退款状态界面</x:v>
      </x:c>
      <x:c r="D77" s="29" t="str">
        <x:v>FE</x:v>
      </x:c>
      <x:c r="E77" s="29" t="str">
        <x:v>P1</x:v>
      </x:c>
      <x:c r="F77" s="29" t="n">
        <x:v>16</x:v>
      </x:c>
      <x:c r="G77" s="29" t="n">
        <x:v>17</x:v>
      </x:c>
      <x:c r="H77" s="33" t="n">
        <x:v>3</x:v>
      </x:c>
      <x:c r="I77" s="37" t="n">
        <x:f>H77*(1+'项目总览'!$E$8)</x:f>
        <x:v>3.4499999999999997</x:v>
      </x:c>
      <x:c r="J77" s="23" t="str">
        <x:v>S4-03;S4-06</x:v>
      </x:c>
      <x:c r="K77" s="23" t="str">
        <x:v>财务与费用视图</x:v>
      </x:c>
      <x:c r="L77" s="23" t="str">
        <x:v>不把支付跳转成功当作到账；待对账状态可见</x:v>
      </x:c>
      <x:c r="M77" s="23" t="str">
        <x:v>FR-019</x:v>
      </x:c>
      <x:c r="N77" s="23" t="str">
        <x:v>A14</x:v>
      </x:c>
      <x:c r="O77" s="29" t="str">
        <x:v>未开始</x:v>
      </x:c>
      <x:c r="P77" s="41" t="n">
        <x:v>0</x:v>
      </x:c>
      <x:c r="Q77" s="37" t="n">
        <x:f>H77*P77</x:f>
        <x:v>0</x:v>
      </x:c>
      <x:c r="R77" s="29"/>
    </x:row>
    <x:row r="78" ht="70" customHeight="1">
      <x:c r="A78" s="26" t="str">
        <x:v>S4-12</x:v>
      </x:c>
      <x:c r="B78" s="26" t="str">
        <x:v>S4</x:v>
      </x:c>
      <x:c r="C78" s="28" t="str">
        <x:v>补齐文档、API 示例与发布引导</x:v>
      </x:c>
      <x:c r="D78" s="28" t="str">
        <x:v>FE</x:v>
      </x:c>
      <x:c r="E78" s="28" t="str">
        <x:v>P1</x:v>
      </x:c>
      <x:c r="F78" s="28" t="n">
        <x:v>17</x:v>
      </x:c>
      <x:c r="G78" s="28" t="n">
        <x:v>17</x:v>
      </x:c>
      <x:c r="H78" s="32" t="n">
        <x:v>1</x:v>
      </x:c>
      <x:c r="I78" s="36" t="n">
        <x:f>H78*(1+'项目总览'!$E$8)</x:f>
        <x:v>1.15</x:v>
      </x:c>
      <x:c r="J78" s="26" t="str">
        <x:v>S4-07;S4-09</x:v>
      </x:c>
      <x:c r="K78" s="26" t="str">
        <x:v>开发者入口与文档导航</x:v>
      </x:c>
      <x:c r="L78" s="26" t="str">
        <x:v>样例不含真实密钥；失败指引完整</x:v>
      </x:c>
      <x:c r="M78" s="26" t="str">
        <x:v>FR-021</x:v>
      </x:c>
      <x:c r="N78" s="26" t="str">
        <x:v>A14</x:v>
      </x:c>
      <x:c r="O78" s="28" t="str">
        <x:v>未开始</x:v>
      </x:c>
      <x:c r="P78" s="40" t="n">
        <x:v>0</x:v>
      </x:c>
      <x:c r="Q78" s="36" t="n">
        <x:f>H78*P78</x:f>
        <x:v>0</x:v>
      </x:c>
      <x:c r="R78" s="28"/>
    </x:row>
    <x:row r="79" ht="70" customHeight="1">
      <x:c r="A79" s="23" t="str">
        <x:v>S4-13</x:v>
      </x:c>
      <x:c r="B79" s="23" t="str">
        <x:v>S4</x:v>
      </x:c>
      <x:c r="C79" s="29" t="str">
        <x:v>测试发布、回退、审批与 Admin</x:v>
      </x:c>
      <x:c r="D79" s="29" t="str">
        <x:v>QA</x:v>
      </x:c>
      <x:c r="E79" s="29" t="str">
        <x:v>P0</x:v>
      </x:c>
      <x:c r="F79" s="29" t="n">
        <x:v>14</x:v>
      </x:c>
      <x:c r="G79" s="29" t="n">
        <x:v>17</x:v>
      </x:c>
      <x:c r="H79" s="33" t="n">
        <x:v>4</x:v>
      </x:c>
      <x:c r="I79" s="37" t="n">
        <x:f>H79*(1+'项目总览'!$E$8)</x:f>
        <x:v>4.6</x:v>
      </x:c>
      <x:c r="J79" s="23" t="str">
        <x:v>S4-01;S4-02;S4-04;S4-10</x:v>
      </x:c>
      <x:c r="K79" s="23" t="str">
        <x:v>T22–T24／T26／T31</x:v>
      </x:c>
      <x:c r="L79" s="23" t="str">
        <x:v>恶意清单、旧审批复用和越权发布被拒绝</x:v>
      </x:c>
      <x:c r="M79" s="23" t="str">
        <x:v>FR-015;FR-016</x:v>
      </x:c>
      <x:c r="N79" s="23" t="str">
        <x:v>A16</x:v>
      </x:c>
      <x:c r="O79" s="29" t="str">
        <x:v>未开始</x:v>
      </x:c>
      <x:c r="P79" s="41" t="n">
        <x:v>0</x:v>
      </x:c>
      <x:c r="Q79" s="37" t="n">
        <x:f>H79*P79</x:f>
        <x:v>0</x:v>
      </x:c>
      <x:c r="R79" s="29"/>
    </x:row>
    <x:row r="80" ht="70" customHeight="1">
      <x:c r="A80" s="26" t="str">
        <x:v>S4-14</x:v>
      </x:c>
      <x:c r="B80" s="26" t="str">
        <x:v>S4</x:v>
      </x:c>
      <x:c r="C80" s="28" t="str">
        <x:v>测试支付、对账与多入口一致性</x:v>
      </x:c>
      <x:c r="D80" s="28" t="str">
        <x:v>QA</x:v>
      </x:c>
      <x:c r="E80" s="28" t="str">
        <x:v>P0</x:v>
      </x:c>
      <x:c r="F80" s="28" t="n">
        <x:v>15</x:v>
      </x:c>
      <x:c r="G80" s="28" t="n">
        <x:v>17</x:v>
      </x:c>
      <x:c r="H80" s="32" t="n">
        <x:v>4</x:v>
      </x:c>
      <x:c r="I80" s="36" t="n">
        <x:f>H80*(1+'项目总览'!$E$8)</x:f>
        <x:v>4.6</x:v>
      </x:c>
      <x:c r="J80" s="26" t="str">
        <x:v>S4-03;S4-06;S4-07;S4-11</x:v>
      </x:c>
      <x:c r="K80" s="26" t="str">
        <x:v>T20／T21／T27／T29</x:v>
      </x:c>
      <x:c r="L80" s="26" t="str">
        <x:v>重复回调、部分退款、费用规则和权限一致</x:v>
      </x:c>
      <x:c r="M80" s="26" t="str">
        <x:v>FR-019;FR-021</x:v>
      </x:c>
      <x:c r="N80" s="26" t="str">
        <x:v>A16</x:v>
      </x:c>
      <x:c r="O80" s="28" t="str">
        <x:v>未开始</x:v>
      </x:c>
      <x:c r="P80" s="40" t="n">
        <x:v>0</x:v>
      </x:c>
      <x:c r="Q80" s="36" t="n">
        <x:f>H80*P80</x:f>
        <x:v>0</x:v>
      </x:c>
      <x:c r="R80" s="28"/>
    </x:row>
    <x:row r="81" ht="70" customHeight="1">
      <x:c r="A81" s="23" t="str">
        <x:v>S4-15</x:v>
      </x:c>
      <x:c r="B81" s="23" t="str">
        <x:v>S4</x:v>
      </x:c>
      <x:c r="C81" s="29" t="str">
        <x:v>执行商业化准备回归与 G4 证据整理</x:v>
      </x:c>
      <x:c r="D81" s="29" t="str">
        <x:v>QA</x:v>
      </x:c>
      <x:c r="E81" s="29" t="str">
        <x:v>P0</x:v>
      </x:c>
      <x:c r="F81" s="29" t="n">
        <x:v>17</x:v>
      </x:c>
      <x:c r="G81" s="29" t="n">
        <x:v>17</x:v>
      </x:c>
      <x:c r="H81" s="33" t="n">
        <x:v>2</x:v>
      </x:c>
      <x:c r="I81" s="37" t="n">
        <x:f>H81*(1+'项目总览'!$E$8)</x:f>
        <x:v>2.3</x:v>
      </x:c>
      <x:c r="J81" s="23" t="str">
        <x:v>S4-13;S4-14</x:v>
      </x:c>
      <x:c r="K81" s="23" t="str">
        <x:v>G4 回归报告</x:v>
      </x:c>
      <x:c r="L81" s="23" t="str">
        <x:v>未确定支付或分发授权明确列为阻断项</x:v>
      </x:c>
      <x:c r="M81" s="23" t="str">
        <x:v>NFR-009</x:v>
      </x:c>
      <x:c r="N81" s="23" t="str">
        <x:v>B07</x:v>
      </x:c>
      <x:c r="O81" s="29" t="str">
        <x:v>未开始</x:v>
      </x:c>
      <x:c r="P81" s="41" t="n">
        <x:v>0</x:v>
      </x:c>
      <x:c r="Q81" s="37" t="n">
        <x:f>H81*P81</x:f>
        <x:v>0</x:v>
      </x:c>
      <x:c r="R81" s="29"/>
    </x:row>
    <x:row r="82" ht="70" customHeight="1">
      <x:c r="A82" s="26" t="str">
        <x:v>S4-16</x:v>
      </x:c>
      <x:c r="B82" s="26" t="str">
        <x:v>S4</x:v>
      </x:c>
      <x:c r="C82" s="28" t="str">
        <x:v>实现制品校验、签名与依赖扫描</x:v>
      </x:c>
      <x:c r="D82" s="28" t="str">
        <x:v>SRE</x:v>
      </x:c>
      <x:c r="E82" s="28" t="str">
        <x:v>P0</x:v>
      </x:c>
      <x:c r="F82" s="28" t="n">
        <x:v>14</x:v>
      </x:c>
      <x:c r="G82" s="28" t="n">
        <x:v>16</x:v>
      </x:c>
      <x:c r="H82" s="32" t="n">
        <x:v>3</x:v>
      </x:c>
      <x:c r="I82" s="36" t="n">
        <x:f>H82*(1+'项目总览'!$E$8)</x:f>
        <x:v>3.4499999999999997</x:v>
      </x:c>
      <x:c r="J82" s="26" t="str">
        <x:v>S4-01</x:v>
      </x:c>
      <x:c r="K82" s="26" t="str">
        <x:v>制品验证与权限差异检查</x:v>
      </x:c>
      <x:c r="L82" s="26" t="str">
        <x:v>摘要不符／未批准权限不可部署</x:v>
      </x:c>
      <x:c r="M82" s="26" t="str">
        <x:v>FR-015;NFR-002</x:v>
      </x:c>
      <x:c r="N82" s="26" t="str">
        <x:v>A09</x:v>
      </x:c>
      <x:c r="O82" s="28" t="str">
        <x:v>未开始</x:v>
      </x:c>
      <x:c r="P82" s="40" t="n">
        <x:v>0</x:v>
      </x:c>
      <x:c r="Q82" s="36" t="n">
        <x:f>H82*P82</x:f>
        <x:v>0</x:v>
      </x:c>
      <x:c r="R82" s="28"/>
    </x:row>
    <x:row r="83" ht="70" customHeight="1">
      <x:c r="A83" s="23" t="str">
        <x:v>S4-17</x:v>
      </x:c>
      <x:c r="B83" s="23" t="str">
        <x:v>S4</x:v>
      </x:c>
      <x:c r="C83" s="29" t="str">
        <x:v>配置发布回退、备份与对账值班入口</x:v>
      </x:c>
      <x:c r="D83" s="29" t="str">
        <x:v>SRE</x:v>
      </x:c>
      <x:c r="E83" s="29" t="str">
        <x:v>P0</x:v>
      </x:c>
      <x:c r="F83" s="29" t="n">
        <x:v>16</x:v>
      </x:c>
      <x:c r="G83" s="29" t="n">
        <x:v>17</x:v>
      </x:c>
      <x:c r="H83" s="33" t="n">
        <x:v>2</x:v>
      </x:c>
      <x:c r="I83" s="37" t="n">
        <x:f>H83*(1+'项目总览'!$E$8)</x:f>
        <x:v>2.3</x:v>
      </x:c>
      <x:c r="J83" s="23" t="str">
        <x:v>S4-04;S4-03</x:v>
      </x:c>
      <x:c r="K83" s="23" t="str">
        <x:v>发布手册与告警分派</x:v>
      </x:c>
      <x:c r="L83" s="23" t="str">
        <x:v>应急角色、开关和恢复脚本可演练</x:v>
      </x:c>
      <x:c r="M83" s="23" t="str">
        <x:v>NFR-005;NFR-008</x:v>
      </x:c>
      <x:c r="N83" s="23" t="str">
        <x:v>A15</x:v>
      </x:c>
      <x:c r="O83" s="29" t="str">
        <x:v>未开始</x:v>
      </x:c>
      <x:c r="P83" s="41" t="n">
        <x:v>0</x:v>
      </x:c>
      <x:c r="Q83" s="37" t="n">
        <x:f>H83*P83</x:f>
        <x:v>0</x:v>
      </x:c>
      <x:c r="R83" s="29"/>
    </x:row>
    <x:row r="84" ht="70" customHeight="1">
      <x:c r="A84" s="26" t="str">
        <x:v>S4-18</x:v>
      </x:c>
      <x:c r="B84" s="26" t="str">
        <x:v>S4</x:v>
      </x:c>
      <x:c r="C84" s="28" t="str">
        <x:v>确认服务条款、收费与供应商清单</x:v>
      </x:c>
      <x:c r="D84" s="28" t="str">
        <x:v>PM</x:v>
      </x:c>
      <x:c r="E84" s="28" t="str">
        <x:v>P0</x:v>
      </x:c>
      <x:c r="F84" s="28" t="n">
        <x:v>14</x:v>
      </x:c>
      <x:c r="G84" s="28" t="n">
        <x:v>17</x:v>
      </x:c>
      <x:c r="H84" s="32" t="n">
        <x:v>3</x:v>
      </x:c>
      <x:c r="I84" s="36" t="n">
        <x:f>H84*(1+'项目总览'!$E$8)</x:f>
        <x:v>3.4499999999999997</x:v>
      </x:c>
      <x:c r="J84" s="26" t="str">
        <x:v>S0-09;S4-06</x:v>
      </x:c>
      <x:c r="K84" s="26" t="str">
        <x:v>商业前置条件与 G4 签署</x:v>
      </x:c>
      <x:c r="L84" s="26" t="str">
        <x:v>转售／数据／支付前置条件有书面依据</x:v>
      </x:c>
      <x:c r="M84" s="26" t="str">
        <x:v>FR-019</x:v>
      </x:c>
      <x:c r="N84" s="26" t="str">
        <x:v>B07</x:v>
      </x:c>
      <x:c r="O84" s="28" t="str">
        <x:v>未开始</x:v>
      </x:c>
      <x:c r="P84" s="40" t="n">
        <x:v>0</x:v>
      </x:c>
      <x:c r="Q84" s="36" t="n">
        <x:f>H84*P84</x:f>
        <x:v>0</x:v>
      </x:c>
      <x:c r="R84" s="28"/>
    </x:row>
    <x:row r="85" ht="70" customHeight="1">
      <x:c r="A85" s="23" t="str">
        <x:v>S5-01</x:v>
      </x:c>
      <x:c r="B85" s="23" t="str">
        <x:v>S5</x:v>
      </x:c>
      <x:c r="C85" s="29" t="str">
        <x:v>完成后端一致性与迁移加固</x:v>
      </x:c>
      <x:c r="D85" s="29" t="str">
        <x:v>BE-A</x:v>
      </x:c>
      <x:c r="E85" s="29" t="str">
        <x:v>P0</x:v>
      </x:c>
      <x:c r="F85" s="29" t="n">
        <x:v>18</x:v>
      </x:c>
      <x:c r="G85" s="29" t="n">
        <x:v>19</x:v>
      </x:c>
      <x:c r="H85" s="33" t="n">
        <x:v>4</x:v>
      </x:c>
      <x:c r="I85" s="37" t="n">
        <x:f>H85*(1+'项目总览'!$E$8)</x:f>
        <x:v>4.6</x:v>
      </x:c>
      <x:c r="J85" s="23" t="str">
        <x:v>S4-15</x:v>
      </x:c>
      <x:c r="K85" s="23" t="str">
        <x:v>并发／迁移问题修复</x:v>
      </x:c>
      <x:c r="L85" s="23" t="str">
        <x:v>T18–T21／T38 无阻断缺陷</x:v>
      </x:c>
      <x:c r="M85" s="23" t="str">
        <x:v>NFR-003;NFR-008</x:v>
      </x:c>
      <x:c r="N85" s="23" t="str">
        <x:v>A16</x:v>
      </x:c>
      <x:c r="O85" s="29" t="str">
        <x:v>未开始</x:v>
      </x:c>
      <x:c r="P85" s="41" t="n">
        <x:v>0</x:v>
      </x:c>
      <x:c r="Q85" s="37" t="n">
        <x:f>H85*P85</x:f>
        <x:v>0</x:v>
      </x:c>
      <x:c r="R85" s="29"/>
    </x:row>
    <x:row r="86" ht="70" customHeight="1">
      <x:c r="A86" s="26" t="str">
        <x:v>S5-02</x:v>
      </x:c>
      <x:c r="B86" s="26" t="str">
        <x:v>S5</x:v>
      </x:c>
      <x:c r="C86" s="28" t="str">
        <x:v>参与恢复、账本与事故演练修复</x:v>
      </x:c>
      <x:c r="D86" s="28" t="str">
        <x:v>BE-A</x:v>
      </x:c>
      <x:c r="E86" s="28" t="str">
        <x:v>P0</x:v>
      </x:c>
      <x:c r="F86" s="28" t="n">
        <x:v>19</x:v>
      </x:c>
      <x:c r="G86" s="28" t="n">
        <x:v>20</x:v>
      </x:c>
      <x:c r="H86" s="32" t="n">
        <x:v>3</x:v>
      </x:c>
      <x:c r="I86" s="36" t="n">
        <x:f>H86*(1+'项目总览'!$E$8)</x:f>
        <x:v>3.4499999999999997</x:v>
      </x:c>
      <x:c r="J86" s="26" t="str">
        <x:v>S5-01</x:v>
      </x:c>
      <x:c r="K86" s="26" t="str">
        <x:v>恢复对账和停机开关修复</x:v>
      </x:c>
      <x:c r="L86" s="26" t="str">
        <x:v>恢复窗口未知任务不会重复外部副作用</x:v>
      </x:c>
      <x:c r="M86" s="26" t="str">
        <x:v>NFR-005</x:v>
      </x:c>
      <x:c r="N86" s="26" t="str">
        <x:v>A15</x:v>
      </x:c>
      <x:c r="O86" s="28" t="str">
        <x:v>未开始</x:v>
      </x:c>
      <x:c r="P86" s="40" t="n">
        <x:v>0</x:v>
      </x:c>
      <x:c r="Q86" s="36" t="n">
        <x:f>H86*P86</x:f>
        <x:v>0</x:v>
      </x:c>
      <x:c r="R86" s="28"/>
    </x:row>
    <x:row r="87" ht="70" customHeight="1">
      <x:c r="A87" s="23" t="str">
        <x:v>S5-03</x:v>
      </x:c>
      <x:c r="B87" s="23" t="str">
        <x:v>S5</x:v>
      </x:c>
      <x:c r="C87" s="29" t="str">
        <x:v>完成协议、超时及连接故障加固</x:v>
      </x:c>
      <x:c r="D87" s="29" t="str">
        <x:v>BE-B</x:v>
      </x:c>
      <x:c r="E87" s="29" t="str">
        <x:v>P0</x:v>
      </x:c>
      <x:c r="F87" s="29" t="n">
        <x:v>18</x:v>
      </x:c>
      <x:c r="G87" s="29" t="n">
        <x:v>19</x:v>
      </x:c>
      <x:c r="H87" s="33" t="n">
        <x:v>4</x:v>
      </x:c>
      <x:c r="I87" s="37" t="n">
        <x:f>H87*(1+'项目总览'!$E$8)</x:f>
        <x:v>4.6</x:v>
      </x:c>
      <x:c r="J87" s="23" t="str">
        <x:v>S4-15</x:v>
      </x:c>
      <x:c r="K87" s="23" t="str">
        <x:v>协议与适配器修复</x:v>
      </x:c>
      <x:c r="L87" s="23" t="str">
        <x:v>T15／T16／T40 及故障退化通过</x:v>
      </x:c>
      <x:c r="M87" s="23" t="str">
        <x:v>FR-011;NFR-010</x:v>
      </x:c>
      <x:c r="N87" s="23" t="str">
        <x:v>A07</x:v>
      </x:c>
      <x:c r="O87" s="29" t="str">
        <x:v>未开始</x:v>
      </x:c>
      <x:c r="P87" s="41" t="n">
        <x:v>0</x:v>
      </x:c>
      <x:c r="Q87" s="37" t="n">
        <x:f>H87*P87</x:f>
        <x:v>0</x:v>
      </x:c>
      <x:c r="R87" s="29"/>
    </x:row>
    <x:row r="88" ht="70" customHeight="1">
      <x:c r="A88" s="26" t="str">
        <x:v>S5-04</x:v>
      </x:c>
      <x:c r="B88" s="26" t="str">
        <x:v>S5</x:v>
      </x:c>
      <x:c r="C88" s="28" t="str">
        <x:v>完成容量、重试与背压优化</x:v>
      </x:c>
      <x:c r="D88" s="28" t="str">
        <x:v>BE-B</x:v>
      </x:c>
      <x:c r="E88" s="28" t="str">
        <x:v>P0</x:v>
      </x:c>
      <x:c r="F88" s="28" t="n">
        <x:v>19</x:v>
      </x:c>
      <x:c r="G88" s="28" t="n">
        <x:v>20</x:v>
      </x:c>
      <x:c r="H88" s="32" t="n">
        <x:v>3</x:v>
      </x:c>
      <x:c r="I88" s="36" t="n">
        <x:f>H88*(1+'项目总览'!$E$8)</x:f>
        <x:v>3.4499999999999997</x:v>
      </x:c>
      <x:c r="J88" s="26" t="str">
        <x:v>S5-03</x:v>
      </x:c>
      <x:c r="K88" s="26" t="str">
        <x:v>性能修复与资源上限</x:v>
      </x:c>
      <x:c r="L88" s="26" t="str">
        <x:v>20 RPS／50 RPS 目标下不破坏费用和隔离规则</x:v>
      </x:c>
      <x:c r="M88" s="26" t="str">
        <x:v>NFR-004</x:v>
      </x:c>
      <x:c r="N88" s="26" t="str">
        <x:v>A16</x:v>
      </x:c>
      <x:c r="O88" s="28" t="str">
        <x:v>未开始</x:v>
      </x:c>
      <x:c r="P88" s="40" t="n">
        <x:v>0</x:v>
      </x:c>
      <x:c r="Q88" s="36" t="n">
        <x:f>H88*P88</x:f>
        <x:v>0</x:v>
      </x:c>
      <x:c r="R88" s="28"/>
    </x:row>
    <x:row r="89" ht="70" customHeight="1">
      <x:c r="A89" s="23" t="str">
        <x:v>S5-05</x:v>
      </x:c>
      <x:c r="B89" s="23" t="str">
        <x:v>S5</x:v>
      </x:c>
      <x:c r="C89" s="29" t="str">
        <x:v>完成前端质量、可访问性与反馈修复</x:v>
      </x:c>
      <x:c r="D89" s="29" t="str">
        <x:v>FE</x:v>
      </x:c>
      <x:c r="E89" s="29" t="str">
        <x:v>P0</x:v>
      </x:c>
      <x:c r="F89" s="29" t="n">
        <x:v>18</x:v>
      </x:c>
      <x:c r="G89" s="29" t="n">
        <x:v>19</x:v>
      </x:c>
      <x:c r="H89" s="33" t="n">
        <x:v>5</x:v>
      </x:c>
      <x:c r="I89" s="37" t="n">
        <x:f>H89*(1+'项目总览'!$E$8)</x:f>
        <x:v>5.75</x:v>
      </x:c>
      <x:c r="J89" s="23" t="str">
        <x:v>S4-15</x:v>
      </x:c>
      <x:c r="K89" s="23" t="str">
        <x:v>关键页面质量收敛</x:v>
      </x:c>
      <x:c r="L89" s="23" t="str">
        <x:v>T25／T37；异常、取消、费用提示不误导</x:v>
      </x:c>
      <x:c r="M89" s="23" t="str">
        <x:v>NFR-007</x:v>
      </x:c>
      <x:c r="N89" s="23" t="str">
        <x:v>A14</x:v>
      </x:c>
      <x:c r="O89" s="29" t="str">
        <x:v>未开始</x:v>
      </x:c>
      <x:c r="P89" s="41" t="n">
        <x:v>0</x:v>
      </x:c>
      <x:c r="Q89" s="37" t="n">
        <x:f>H89*P89</x:f>
        <x:v>0</x:v>
      </x:c>
      <x:c r="R89" s="29"/>
    </x:row>
    <x:row r="90" ht="70" customHeight="1">
      <x:c r="A90" s="26" t="str">
        <x:v>S5-06</x:v>
      </x:c>
      <x:c r="B90" s="26" t="str">
        <x:v>S5</x:v>
      </x:c>
      <x:c r="C90" s="28" t="str">
        <x:v>完成试点埋点与发布说明</x:v>
      </x:c>
      <x:c r="D90" s="28" t="str">
        <x:v>FE</x:v>
      </x:c>
      <x:c r="E90" s="28" t="str">
        <x:v>P0</x:v>
      </x:c>
      <x:c r="F90" s="28" t="n">
        <x:v>19</x:v>
      </x:c>
      <x:c r="G90" s="28" t="n">
        <x:v>20</x:v>
      </x:c>
      <x:c r="H90" s="32" t="n">
        <x:v>2</x:v>
      </x:c>
      <x:c r="I90" s="36" t="n">
        <x:f>H90*(1+'项目总览'!$E$8)</x:f>
        <x:v>2.3</x:v>
      </x:c>
      <x:c r="J90" s="26" t="str">
        <x:v>S5-05</x:v>
      </x:c>
      <x:c r="K90" s="26" t="str">
        <x:v>首次调用漏斗与发布指引</x:v>
      </x:c>
      <x:c r="L90" s="26" t="str">
        <x:v>不采集秘密；用户能找到支持与问题 Run</x:v>
      </x:c>
      <x:c r="M90" s="26" t="str">
        <x:v>FR-017</x:v>
      </x:c>
      <x:c r="N90" s="26" t="str">
        <x:v>A14</x:v>
      </x:c>
      <x:c r="O90" s="28" t="str">
        <x:v>未开始</x:v>
      </x:c>
      <x:c r="P90" s="40" t="n">
        <x:v>0</x:v>
      </x:c>
      <x:c r="Q90" s="36" t="n">
        <x:f>H90*P90</x:f>
        <x:v>0</x:v>
      </x:c>
      <x:c r="R90" s="28"/>
    </x:row>
    <x:row r="91" ht="70" customHeight="1">
      <x:c r="A91" s="23" t="str">
        <x:v>S5-07</x:v>
      </x:c>
      <x:c r="B91" s="23" t="str">
        <x:v>S5</x:v>
      </x:c>
      <x:c r="C91" s="29" t="str">
        <x:v>执行隔离、SSRF、秘密及权限安全回归</x:v>
      </x:c>
      <x:c r="D91" s="29" t="str">
        <x:v>QA</x:v>
      </x:c>
      <x:c r="E91" s="29" t="str">
        <x:v>P0</x:v>
      </x:c>
      <x:c r="F91" s="29" t="n">
        <x:v>18</x:v>
      </x:c>
      <x:c r="G91" s="29" t="n">
        <x:v>18</x:v>
      </x:c>
      <x:c r="H91" s="33" t="n">
        <x:v>3</x:v>
      </x:c>
      <x:c r="I91" s="37" t="n">
        <x:f>H91*(1+'项目总览'!$E$8)</x:f>
        <x:v>3.4499999999999997</x:v>
      </x:c>
      <x:c r="J91" s="23" t="str">
        <x:v>S4-15;S4-16</x:v>
      </x:c>
      <x:c r="K91" s="23" t="str">
        <x:v>T02／T08／T24／T33 安全证据</x:v>
      </x:c>
      <x:c r="L91" s="23" t="str">
        <x:v>零未关闭高危问题；例外不可豁免资金与隔离</x:v>
      </x:c>
      <x:c r="M91" s="23" t="str">
        <x:v>NFR-001;NFR-002</x:v>
      </x:c>
      <x:c r="N91" s="23" t="str">
        <x:v>A16</x:v>
      </x:c>
      <x:c r="O91" s="29" t="str">
        <x:v>未开始</x:v>
      </x:c>
      <x:c r="P91" s="41" t="n">
        <x:v>0</x:v>
      </x:c>
      <x:c r="Q91" s="37" t="n">
        <x:f>H91*P91</x:f>
        <x:v>0</x:v>
      </x:c>
      <x:c r="R91" s="29"/>
    </x:row>
    <x:row r="92" ht="70" customHeight="1">
      <x:c r="A92" s="26" t="str">
        <x:v>S5-08</x:v>
      </x:c>
      <x:c r="B92" s="26" t="str">
        <x:v>S5</x:v>
      </x:c>
      <x:c r="C92" s="28" t="str">
        <x:v>执行稳态、突发与长任务性能测试</x:v>
      </x:c>
      <x:c r="D92" s="28" t="str">
        <x:v>QA</x:v>
      </x:c>
      <x:c r="E92" s="28" t="str">
        <x:v>P0</x:v>
      </x:c>
      <x:c r="F92" s="28" t="n">
        <x:v>18</x:v>
      </x:c>
      <x:c r="G92" s="28" t="n">
        <x:v>19</x:v>
      </x:c>
      <x:c r="H92" s="32" t="n">
        <x:v>3</x:v>
      </x:c>
      <x:c r="I92" s="36" t="n">
        <x:f>H92*(1+'项目总览'!$E$8)</x:f>
        <x:v>3.4499999999999997</x:v>
      </x:c>
      <x:c r="J92" s="26" t="str">
        <x:v>S4-15</x:v>
      </x:c>
      <x:c r="K92" s="26" t="str">
        <x:v>T34 完整报告</x:v>
      </x:c>
      <x:c r="L92" s="26" t="str">
        <x:v>分开报告平台延迟与上游任务成功率</x:v>
      </x:c>
      <x:c r="M92" s="26" t="str">
        <x:v>NFR-004</x:v>
      </x:c>
      <x:c r="N92" s="26" t="str">
        <x:v>A16</x:v>
      </x:c>
      <x:c r="O92" s="28" t="str">
        <x:v>未开始</x:v>
      </x:c>
      <x:c r="P92" s="40" t="n">
        <x:v>0</x:v>
      </x:c>
      <x:c r="Q92" s="36" t="n">
        <x:f>H92*P92</x:f>
        <x:v>0</x:v>
      </x:c>
      <x:c r="R92" s="28"/>
    </x:row>
    <x:row r="93" ht="70" customHeight="1">
      <x:c r="A93" s="23" t="str">
        <x:v>S5-09</x:v>
      </x:c>
      <x:c r="B93" s="23" t="str">
        <x:v>S5</x:v>
      </x:c>
      <x:c r="C93" s="29" t="str">
        <x:v>执行回退、恢复与未知任务演练</x:v>
      </x:c>
      <x:c r="D93" s="29" t="str">
        <x:v>QA</x:v>
      </x:c>
      <x:c r="E93" s="29" t="str">
        <x:v>P0</x:v>
      </x:c>
      <x:c r="F93" s="29" t="n">
        <x:v>19</x:v>
      </x:c>
      <x:c r="G93" s="29" t="n">
        <x:v>19</x:v>
      </x:c>
      <x:c r="H93" s="33" t="n">
        <x:v>2</x:v>
      </x:c>
      <x:c r="I93" s="37" t="n">
        <x:f>H93*(1+'项目总览'!$E$8)</x:f>
        <x:v>2.3</x:v>
      </x:c>
      <x:c r="J93" s="23" t="str">
        <x:v>S5-01;S5-03</x:v>
      </x:c>
      <x:c r="K93" s="23" t="str">
        <x:v>T35／T38／T40 证据</x:v>
      </x:c>
      <x:c r="L93" s="23" t="str">
        <x:v>记录实测 RPO／RTO 与外部执行对账结果</x:v>
      </x:c>
      <x:c r="M93" s="23" t="str">
        <x:v>NFR-005;NFR-008</x:v>
      </x:c>
      <x:c r="N93" s="23" t="str">
        <x:v>A16</x:v>
      </x:c>
      <x:c r="O93" s="29" t="str">
        <x:v>未开始</x:v>
      </x:c>
      <x:c r="P93" s="41" t="n">
        <x:v>0</x:v>
      </x:c>
      <x:c r="Q93" s="37" t="n">
        <x:f>H93*P93</x:f>
        <x:v>0</x:v>
      </x:c>
      <x:c r="R93" s="29"/>
    </x:row>
    <x:row r="94" ht="70" customHeight="1">
      <x:c r="A94" s="26" t="str">
        <x:v>S5-10</x:v>
      </x:c>
      <x:c r="B94" s="26" t="str">
        <x:v>S5</x:v>
      </x:c>
      <x:c r="C94" s="28" t="str">
        <x:v>执行最终回归与 Go／No-Go 核验</x:v>
      </x:c>
      <x:c r="D94" s="28" t="str">
        <x:v>QA</x:v>
      </x:c>
      <x:c r="E94" s="28" t="str">
        <x:v>P0</x:v>
      </x:c>
      <x:c r="F94" s="28" t="n">
        <x:v>20</x:v>
      </x:c>
      <x:c r="G94" s="28" t="n">
        <x:v>20</x:v>
      </x:c>
      <x:c r="H94" s="32" t="n">
        <x:v>2</x:v>
      </x:c>
      <x:c r="I94" s="36" t="n">
        <x:f>H94*(1+'项目总览'!$E$8)</x:f>
        <x:v>2.3</x:v>
      </x:c>
      <x:c r="J94" s="26" t="str">
        <x:v>S5-07;S5-08;S5-09;S5-05</x:v>
      </x:c>
      <x:c r="K94" s="26" t="str">
        <x:v>最终功能、安全、架构门禁与例外审计报告</x:v>
      </x:c>
      <x:c r="L94" s="26" t="str">
        <x:v>T01–T48 按范围执行；L26–L30 通过；无过期例外或未验证原子受理</x:v>
      </x:c>
      <x:c r="M94" s="26" t="str">
        <x:v>NFR-009;NFR-016</x:v>
      </x:c>
      <x:c r="N94" s="26" t="str">
        <x:v>A16;G07;G08</x:v>
      </x:c>
      <x:c r="O94" s="28" t="str">
        <x:v>未开始</x:v>
      </x:c>
      <x:c r="P94" s="40" t="n">
        <x:v>0</x:v>
      </x:c>
      <x:c r="Q94" s="36" t="n">
        <x:f>H94*P94</x:f>
        <x:v>0</x:v>
      </x:c>
      <x:c r="R94" s="28"/>
    </x:row>
    <x:row r="95" ht="70" customHeight="1">
      <x:c r="A95" s="23" t="str">
        <x:v>S5-11</x:v>
      </x:c>
      <x:c r="B95" s="23" t="str">
        <x:v>S5</x:v>
      </x:c>
      <x:c r="C95" s="29" t="str">
        <x:v>执行灾备、密钥轮换和供应链演练</x:v>
      </x:c>
      <x:c r="D95" s="29" t="str">
        <x:v>SRE</x:v>
      </x:c>
      <x:c r="E95" s="29" t="str">
        <x:v>P0</x:v>
      </x:c>
      <x:c r="F95" s="29" t="n">
        <x:v>18</x:v>
      </x:c>
      <x:c r="G95" s="29" t="n">
        <x:v>19</x:v>
      </x:c>
      <x:c r="H95" s="33" t="n">
        <x:v>3</x:v>
      </x:c>
      <x:c r="I95" s="37" t="n">
        <x:f>H95*(1+'项目总览'!$E$8)</x:f>
        <x:v>3.4499999999999997</x:v>
      </x:c>
      <x:c r="J95" s="23" t="str">
        <x:v>S4-17</x:v>
      </x:c>
      <x:c r="K95" s="23" t="str">
        <x:v>恢复、轮换及紧急禁用记录</x:v>
      </x:c>
      <x:c r="L95" s="23" t="str">
        <x:v>RPO／RTO 实测且失败有闭环修复</x:v>
      </x:c>
      <x:c r="M95" s="23" t="str">
        <x:v>NFR-002;NFR-005</x:v>
      </x:c>
      <x:c r="N95" s="23" t="str">
        <x:v>A15</x:v>
      </x:c>
      <x:c r="O95" s="29" t="str">
        <x:v>未开始</x:v>
      </x:c>
      <x:c r="P95" s="41" t="n">
        <x:v>0</x:v>
      </x:c>
      <x:c r="Q95" s="37" t="n">
        <x:f>H95*P95</x:f>
        <x:v>0</x:v>
      </x:c>
      <x:c r="R95" s="29"/>
    </x:row>
    <x:row r="96" ht="70" customHeight="1">
      <x:c r="A96" s="26" t="str">
        <x:v>S5-12</x:v>
      </x:c>
      <x:c r="B96" s="26" t="str">
        <x:v>S5</x:v>
      </x:c>
      <x:c r="C96" s="28" t="str">
        <x:v>执行金丝雀部署与值班交接</x:v>
      </x:c>
      <x:c r="D96" s="28" t="str">
        <x:v>SRE</x:v>
      </x:c>
      <x:c r="E96" s="28" t="str">
        <x:v>P0</x:v>
      </x:c>
      <x:c r="F96" s="28" t="n">
        <x:v>20</x:v>
      </x:c>
      <x:c r="G96" s="28" t="n">
        <x:v>20</x:v>
      </x:c>
      <x:c r="H96" s="32" t="n">
        <x:v>2</x:v>
      </x:c>
      <x:c r="I96" s="36" t="n">
        <x:f>H96*(1+'项目总览'!$E$8)</x:f>
        <x:v>2.3</x:v>
      </x:c>
      <x:c r="J96" s="26" t="str">
        <x:v>S5-10;S5-11</x:v>
      </x:c>
      <x:c r="K96" s="26" t="str">
        <x:v>受控上线与回滚记录</x:v>
      </x:c>
      <x:c r="L96" s="26" t="str">
        <x:v>任一资金／隔离异常立即停止扩量</x:v>
      </x:c>
      <x:c r="M96" s="26" t="str">
        <x:v>NFR-009</x:v>
      </x:c>
      <x:c r="N96" s="26" t="str">
        <x:v>B11</x:v>
      </x:c>
      <x:c r="O96" s="28" t="str">
        <x:v>未开始</x:v>
      </x:c>
      <x:c r="P96" s="40" t="n">
        <x:v>0</x:v>
      </x:c>
      <x:c r="Q96" s="36" t="n">
        <x:f>H96*P96</x:f>
        <x:v>0</x:v>
      </x:c>
      <x:c r="R96" s="28"/>
    </x:row>
    <x:row r="97" ht="70" customHeight="1">
      <x:c r="A97" s="23" t="str">
        <x:v>S5-13</x:v>
      </x:c>
      <x:c r="B97" s="23" t="str">
        <x:v>S5</x:v>
      </x:c>
      <x:c r="C97" s="29" t="str">
        <x:v>组织试点、验收签署及范围归档</x:v>
      </x:c>
      <x:c r="D97" s="29" t="str">
        <x:v>PM</x:v>
      </x:c>
      <x:c r="E97" s="29" t="str">
        <x:v>P0</x:v>
      </x:c>
      <x:c r="F97" s="29" t="n">
        <x:v>18</x:v>
      </x:c>
      <x:c r="G97" s="29" t="n">
        <x:v>20</x:v>
      </x:c>
      <x:c r="H97" s="33" t="n">
        <x:v>3</x:v>
      </x:c>
      <x:c r="I97" s="37" t="n">
        <x:f>H97*(1+'项目总览'!$E$8)</x:f>
        <x:v>3.4499999999999997</x:v>
      </x:c>
      <x:c r="J97" s="23" t="str">
        <x:v>S4-18</x:v>
      </x:c>
      <x:c r="K97" s="23" t="str">
        <x:v>试点报告、G5 决议与下一阶段输入</x:v>
      </x:c>
      <x:c r="L97" s="23" t="str">
        <x:v>真实任务验收、支持责任及未交付项被明确记录</x:v>
      </x:c>
      <x:c r="M97" s="23" t="str">
        <x:v>NFR-009</x:v>
      </x:c>
      <x:c r="N97" s="23" t="str">
        <x:v>B08</x:v>
      </x:c>
      <x:c r="O97" s="29" t="str">
        <x:v>未开始</x:v>
      </x:c>
      <x:c r="P97" s="41" t="n">
        <x:v>0</x:v>
      </x:c>
      <x:c r="Q97" s="37" t="n">
        <x:f>H97*P97</x:f>
        <x:v>0</x:v>
      </x:c>
      <x:c r="R97" s="29"/>
    </x:row>
  </x:sheetData>
  <x:mergeCells>
    <x:mergeCell ref="A1:R1"/>
    <x:mergeCell ref="A2:R3"/>
  </x:mergeCells>
  <x:conditionalFormatting sqref="O6:O97">
    <x:cfRule type="expression" dxfId="0" priority="1">
      <x:formula>O6="阻塞"</x:formula>
    </x:cfRule>
  </x:conditionalFormatting>
  <x:conditionalFormatting sqref="P6:P97">
    <x:cfRule type="expression" dxfId="1" priority="2">
      <x:formula>AND(O6="已完成",P6&lt;1)</x:formula>
    </x:cfRule>
  </x:conditionalFormatting>
  <x:conditionalFormatting sqref="G6:G97">
    <x:cfRule type="expression" dxfId="2" priority="3">
      <x:formula>AND(G6&lt;'项目总览'!$E$9,O6&lt;&gt;"已完成",O6&lt;&gt;"取消")</x:formula>
    </x:cfRule>
  </x:conditionalFormatting>
  <x:dataValidations count="3">
    <x:dataValidation type="list" sqref="O6:O505">
      <x:formula1>"未开始,进行中,阻塞,待验收,已完成,取消"</x:formula1>
    </x:dataValidation>
    <x:dataValidation type="list" sqref="E6:E505">
      <x:formula1>"P0,P1,P2"</x:formula1>
    </x:dataValidation>
    <x:dataValidation type="list" sqref="D6:D505">
      <x:formula1>"BE-A,BE-B,FE,QA,SRE,PM"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ea3e8b4bd9415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0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13" hidden="0" customWidth="1"/>
    <x:col min="8" max="8" width="13" hidden="0" customWidth="1"/>
    <x:col min="9" max="9" width="13" hidden="0" customWidth="1"/>
    <x:col min="10" max="10" width="12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  <x:col min="23" max="23" width="5" hidden="0" customWidth="1"/>
    <x:col min="24" max="24" width="5" hidden="0" customWidth="1"/>
    <x:col min="25" max="25" width="5" hidden="0" customWidth="1"/>
    <x:col min="26" max="26" width="5" hidden="0" customWidth="1"/>
    <x:col min="27" max="27" width="5" hidden="0" customWidth="1"/>
    <x:col min="28" max="28" width="5" hidden="0" customWidth="1"/>
    <x:col min="29" max="29" width="5" hidden="0" customWidth="1"/>
    <x:col min="30" max="30" width="5" hidden="0" customWidth="1"/>
  </x:cols>
  <x:sheetData>
    <x:row r="1" ht="34" customHeight="1">
      <x:c r="A1" s="5" t="str">
        <x:v>MCPX / 六阶段路线图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</x:row>
    <x:row r="2" ht="22" customHeight="1">
      <x:c r="A2" s="10" t="str">
        <x:v>阶段窗口为建议基线。K:AD 显示相对周；工作量由 WBS 汇总。容量采用总 FTE，必须同时查看“角色容量”防止局部过载。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  <x:c r="AA2" s="10"/>
      <x:c r="AB2" s="10"/>
      <x:c r="AC2" s="10"/>
      <x:c r="AD2" s="10"/>
    </x:row>
    <x:row r="3" ht="22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  <x:c r="AA3" s="10"/>
      <x:c r="AB3" s="10"/>
      <x:c r="AC3" s="10"/>
      <x:c r="AD3" s="10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</x:row>
    <x:row r="5" ht="30" customHeight="1">
      <x:c r="A5" s="17" t="str">
        <x:v>阶段</x:v>
      </x:c>
      <x:c r="B5" s="17" t="str">
        <x:v>名称</x:v>
      </x:c>
      <x:c r="C5" s="17" t="str">
        <x:v>开始周</x:v>
      </x:c>
      <x:c r="D5" s="17" t="str">
        <x:v>结束周</x:v>
      </x:c>
      <x:c r="E5" s="17" t="str">
        <x:v>周数</x:v>
      </x:c>
      <x:c r="F5" s="17" t="str">
        <x:v>Gate</x:v>
      </x:c>
      <x:c r="G5" s="17" t="str">
        <x:v>基础人日</x:v>
      </x:c>
      <x:c r="H5" s="17" t="str">
        <x:v>含缓冲</x:v>
      </x:c>
      <x:c r="I5" s="17" t="str">
        <x:v>总容量</x:v>
      </x:c>
      <x:c r="J5" s="17" t="str">
        <x:v>总负载</x:v>
      </x:c>
      <x:c r="K5" s="17" t="str">
        <x:v>1</x:v>
      </x:c>
      <x:c r="L5" s="17" t="str">
        <x:v>2</x:v>
      </x:c>
      <x:c r="M5" s="17" t="str">
        <x:v>3</x:v>
      </x:c>
      <x:c r="N5" s="17" t="str">
        <x:v>4</x:v>
      </x:c>
      <x:c r="O5" s="17" t="str">
        <x:v>5</x:v>
      </x:c>
      <x:c r="P5" s="17" t="str">
        <x:v>6</x:v>
      </x:c>
      <x:c r="Q5" s="17" t="str">
        <x:v>7</x:v>
      </x:c>
      <x:c r="R5" s="17" t="str">
        <x:v>8</x:v>
      </x:c>
      <x:c r="S5" s="17" t="str">
        <x:v>9</x:v>
      </x:c>
      <x:c r="T5" s="17" t="str">
        <x:v>10</x:v>
      </x:c>
      <x:c r="U5" s="17" t="str">
        <x:v>11</x:v>
      </x:c>
      <x:c r="V5" s="17" t="str">
        <x:v>12</x:v>
      </x:c>
      <x:c r="W5" s="17" t="str">
        <x:v>13</x:v>
      </x:c>
      <x:c r="X5" s="17" t="str">
        <x:v>14</x:v>
      </x:c>
      <x:c r="Y5" s="17" t="str">
        <x:v>15</x:v>
      </x:c>
      <x:c r="Z5" s="17" t="str">
        <x:v>16</x:v>
      </x:c>
      <x:c r="AA5" s="17" t="str">
        <x:v>17</x:v>
      </x:c>
      <x:c r="AB5" s="17" t="str">
        <x:v>18</x:v>
      </x:c>
      <x:c r="AC5" s="17" t="str">
        <x:v>19</x:v>
      </x:c>
      <x:c r="AD5" s="17" t="str">
        <x:v>20</x:v>
      </x:c>
    </x:row>
    <x:row r="6" ht="38" customHeight="1">
      <x:c r="A6" s="26" t="str">
        <x:v>S0</x:v>
      </x:c>
      <x:c r="B6" s="26" t="str">
        <x:v>范围冻结与高风险验证</x:v>
      </x:c>
      <x:c r="C6" s="28" t="n">
        <x:v>1</x:v>
      </x:c>
      <x:c r="D6" s="28" t="n">
        <x:v>2</x:v>
      </x:c>
      <x:c r="E6" s="26" t="n">
        <x:f>D6-C6+1</x:f>
        <x:v>2</x:v>
      </x:c>
      <x:c r="F6" s="26" t="str">
        <x:v>G0</x:v>
      </x:c>
      <x:c r="G6" s="36" t="n">
        <x:f>SUMIF('WBS'!$B$6:$B$505,A6,'WBS'!$H$6:$H$505)</x:f>
        <x:v>21.25</x:v>
      </x:c>
      <x:c r="H6" s="36" t="n">
        <x:f>G6*(1+'项目总览'!$E$8)</x:f>
        <x:v>24.437499999999996</x:v>
      </x:c>
      <x:c r="I6" s="36" t="n">
        <x:f>E6*'项目总览'!$E$6*'项目总览'!$E$7*SUM('项目总览'!$C$16:$C$21)</x:f>
        <x:v>40</x:v>
      </x:c>
      <x:c r="J6" s="98" t="n">
        <x:f>IFERROR(H6/I6,0)</x:f>
        <x:v>0.6109374999999999</x:v>
      </x:c>
      <x:c r="K6" s="102" t="str">
        <x:f>IF(AND(1&gt;=$C6,1&lt;=$D6),"●","")</x:f>
        <x:v>●</x:v>
      </x:c>
      <x:c r="L6" s="102" t="str">
        <x:f>IF(AND(2&gt;=$C6,2&lt;=$D6),"●","")</x:f>
        <x:v>●</x:v>
      </x:c>
      <x:c r="M6" s="102" t="str">
        <x:f>IF(AND(3&gt;=$C6,3&lt;=$D6),"●","")</x:f>
      </x:c>
      <x:c r="N6" s="102" t="str">
        <x:f>IF(AND(4&gt;=$C6,4&lt;=$D6),"●","")</x:f>
      </x:c>
      <x:c r="O6" s="102" t="str">
        <x:f>IF(AND(5&gt;=$C6,5&lt;=$D6),"●","")</x:f>
      </x:c>
      <x:c r="P6" s="102" t="str">
        <x:f>IF(AND(6&gt;=$C6,6&lt;=$D6),"●","")</x:f>
      </x:c>
      <x:c r="Q6" s="102" t="str">
        <x:f>IF(AND(7&gt;=$C6,7&lt;=$D6),"●","")</x:f>
      </x:c>
      <x:c r="R6" s="102" t="str">
        <x:f>IF(AND(8&gt;=$C6,8&lt;=$D6),"●","")</x:f>
      </x:c>
      <x:c r="S6" s="102" t="str">
        <x:f>IF(AND(9&gt;=$C6,9&lt;=$D6),"●","")</x:f>
      </x:c>
      <x:c r="T6" s="102" t="str">
        <x:f>IF(AND(10&gt;=$C6,10&lt;=$D6),"●","")</x:f>
      </x:c>
      <x:c r="U6" s="102" t="str">
        <x:f>IF(AND(11&gt;=$C6,11&lt;=$D6),"●","")</x:f>
      </x:c>
      <x:c r="V6" s="102" t="str">
        <x:f>IF(AND(12&gt;=$C6,12&lt;=$D6),"●","")</x:f>
      </x:c>
      <x:c r="W6" s="102" t="str">
        <x:f>IF(AND(13&gt;=$C6,13&lt;=$D6),"●","")</x:f>
      </x:c>
      <x:c r="X6" s="102" t="str">
        <x:f>IF(AND(14&gt;=$C6,14&lt;=$D6),"●","")</x:f>
      </x:c>
      <x:c r="Y6" s="102" t="str">
        <x:f>IF(AND(15&gt;=$C6,15&lt;=$D6),"●","")</x:f>
      </x:c>
      <x:c r="Z6" s="102" t="str">
        <x:f>IF(AND(16&gt;=$C6,16&lt;=$D6),"●","")</x:f>
      </x:c>
      <x:c r="AA6" s="102" t="str">
        <x:f>IF(AND(17&gt;=$C6,17&lt;=$D6),"●","")</x:f>
      </x:c>
      <x:c r="AB6" s="102" t="str">
        <x:f>IF(AND(18&gt;=$C6,18&lt;=$D6),"●","")</x:f>
      </x:c>
      <x:c r="AC6" s="102" t="str">
        <x:f>IF(AND(19&gt;=$C6,19&lt;=$D6),"●","")</x:f>
      </x:c>
      <x:c r="AD6" s="102" t="str">
        <x:f>IF(AND(20&gt;=$C6,20&lt;=$D6),"●","")</x:f>
      </x:c>
    </x:row>
    <x:row r="7" ht="38" customHeight="1">
      <x:c r="A7" s="23" t="str">
        <x:v>S1</x:v>
      </x:c>
      <x:c r="B7" s="23" t="str">
        <x:v>工程底座与租户控制台</x:v>
      </x:c>
      <x:c r="C7" s="29" t="n">
        <x:v>3</x:v>
      </x:c>
      <x:c r="D7" s="29" t="n">
        <x:v>5</x:v>
      </x:c>
      <x:c r="E7" s="23" t="n">
        <x:f>D7-C7+1</x:f>
        <x:v>3</x:v>
      </x:c>
      <x:c r="F7" s="23" t="str">
        <x:v>G1</x:v>
      </x:c>
      <x:c r="G7" s="37" t="n">
        <x:f>SUMIF('WBS'!$B$6:$B$505,A7,'WBS'!$H$6:$H$505)</x:f>
        <x:v>38</x:v>
      </x:c>
      <x:c r="H7" s="37" t="n">
        <x:f>G7*(1+'项目总览'!$E$8)</x:f>
        <x:v>43.699999999999996</x:v>
      </x:c>
      <x:c r="I7" s="37" t="n">
        <x:f>E7*'项目总览'!$E$6*'项目总览'!$E$7*SUM('项目总览'!$C$16:$C$21)</x:f>
        <x:v>60</x:v>
      </x:c>
      <x:c r="J7" s="99" t="n">
        <x:f>IFERROR(H7/I7,0)</x:f>
        <x:v>0.7283333333333333</x:v>
      </x:c>
      <x:c r="K7" s="103" t="str">
        <x:f>IF(AND(1&gt;=$C7,1&lt;=$D7),"●","")</x:f>
      </x:c>
      <x:c r="L7" s="103" t="str">
        <x:f>IF(AND(2&gt;=$C7,2&lt;=$D7),"●","")</x:f>
      </x:c>
      <x:c r="M7" s="103" t="str">
        <x:f>IF(AND(3&gt;=$C7,3&lt;=$D7),"●","")</x:f>
        <x:v>●</x:v>
      </x:c>
      <x:c r="N7" s="103" t="str">
        <x:f>IF(AND(4&gt;=$C7,4&lt;=$D7),"●","")</x:f>
        <x:v>●</x:v>
      </x:c>
      <x:c r="O7" s="103" t="str">
        <x:f>IF(AND(5&gt;=$C7,5&lt;=$D7),"●","")</x:f>
        <x:v>●</x:v>
      </x:c>
      <x:c r="P7" s="103" t="str">
        <x:f>IF(AND(6&gt;=$C7,6&lt;=$D7),"●","")</x:f>
      </x:c>
      <x:c r="Q7" s="103" t="str">
        <x:f>IF(AND(7&gt;=$C7,7&lt;=$D7),"●","")</x:f>
      </x:c>
      <x:c r="R7" s="103" t="str">
        <x:f>IF(AND(8&gt;=$C7,8&lt;=$D7),"●","")</x:f>
      </x:c>
      <x:c r="S7" s="103" t="str">
        <x:f>IF(AND(9&gt;=$C7,9&lt;=$D7),"●","")</x:f>
      </x:c>
      <x:c r="T7" s="103" t="str">
        <x:f>IF(AND(10&gt;=$C7,10&lt;=$D7),"●","")</x:f>
      </x:c>
      <x:c r="U7" s="103" t="str">
        <x:f>IF(AND(11&gt;=$C7,11&lt;=$D7),"●","")</x:f>
      </x:c>
      <x:c r="V7" s="103" t="str">
        <x:f>IF(AND(12&gt;=$C7,12&lt;=$D7),"●","")</x:f>
      </x:c>
      <x:c r="W7" s="103" t="str">
        <x:f>IF(AND(13&gt;=$C7,13&lt;=$D7),"●","")</x:f>
      </x:c>
      <x:c r="X7" s="103" t="str">
        <x:f>IF(AND(14&gt;=$C7,14&lt;=$D7),"●","")</x:f>
      </x:c>
      <x:c r="Y7" s="103" t="str">
        <x:f>IF(AND(15&gt;=$C7,15&lt;=$D7),"●","")</x:f>
      </x:c>
      <x:c r="Z7" s="103" t="str">
        <x:f>IF(AND(16&gt;=$C7,16&lt;=$D7),"●","")</x:f>
      </x:c>
      <x:c r="AA7" s="103" t="str">
        <x:f>IF(AND(17&gt;=$C7,17&lt;=$D7),"●","")</x:f>
      </x:c>
      <x:c r="AB7" s="103" t="str">
        <x:f>IF(AND(18&gt;=$C7,18&lt;=$D7),"●","")</x:f>
      </x:c>
      <x:c r="AC7" s="103" t="str">
        <x:f>IF(AND(19&gt;=$C7,19&lt;=$D7),"●","")</x:f>
      </x:c>
      <x:c r="AD7" s="103" t="str">
        <x:f>IF(AND(20&gt;=$C7,20&lt;=$D7),"●","")</x:f>
      </x:c>
    </x:row>
    <x:row r="8" ht="38" customHeight="1">
      <x:c r="A8" s="26" t="str">
        <x:v>S2</x:v>
      </x:c>
      <x:c r="B8" s="26" t="str">
        <x:v>HTTP 工具与可信执行闭环</x:v>
      </x:c>
      <x:c r="C8" s="28" t="n">
        <x:v>6</x:v>
      </x:c>
      <x:c r="D8" s="28" t="n">
        <x:v>9</x:v>
      </x:c>
      <x:c r="E8" s="26" t="n">
        <x:f>D8-C8+1</x:f>
        <x:v>4</x:v>
      </x:c>
      <x:c r="F8" s="26" t="str">
        <x:v>G2</x:v>
      </x:c>
      <x:c r="G8" s="36" t="n">
        <x:f>SUMIF('WBS'!$B$6:$B$505,A8,'WBS'!$H$6:$H$505)</x:f>
        <x:v>55</x:v>
      </x:c>
      <x:c r="H8" s="36" t="n">
        <x:f>G8*(1+'项目总览'!$E$8)</x:f>
        <x:v>63.24999999999999</x:v>
      </x:c>
      <x:c r="I8" s="36" t="n">
        <x:f>E8*'项目总览'!$E$6*'项目总览'!$E$7*SUM('项目总览'!$C$16:$C$21)</x:f>
        <x:v>80</x:v>
      </x:c>
      <x:c r="J8" s="98" t="n">
        <x:f>IFERROR(H8/I8,0)</x:f>
        <x:v>0.7906249999999999</x:v>
      </x:c>
      <x:c r="K8" s="102" t="str">
        <x:f>IF(AND(1&gt;=$C8,1&lt;=$D8),"●","")</x:f>
      </x:c>
      <x:c r="L8" s="102" t="str">
        <x:f>IF(AND(2&gt;=$C8,2&lt;=$D8),"●","")</x:f>
      </x:c>
      <x:c r="M8" s="102" t="str">
        <x:f>IF(AND(3&gt;=$C8,3&lt;=$D8),"●","")</x:f>
      </x:c>
      <x:c r="N8" s="102" t="str">
        <x:f>IF(AND(4&gt;=$C8,4&lt;=$D8),"●","")</x:f>
      </x:c>
      <x:c r="O8" s="102" t="str">
        <x:f>IF(AND(5&gt;=$C8,5&lt;=$D8),"●","")</x:f>
      </x:c>
      <x:c r="P8" s="102" t="str">
        <x:f>IF(AND(6&gt;=$C8,6&lt;=$D8),"●","")</x:f>
        <x:v>●</x:v>
      </x:c>
      <x:c r="Q8" s="102" t="str">
        <x:f>IF(AND(7&gt;=$C8,7&lt;=$D8),"●","")</x:f>
        <x:v>●</x:v>
      </x:c>
      <x:c r="R8" s="102" t="str">
        <x:f>IF(AND(8&gt;=$C8,8&lt;=$D8),"●","")</x:f>
        <x:v>●</x:v>
      </x:c>
      <x:c r="S8" s="102" t="str">
        <x:f>IF(AND(9&gt;=$C8,9&lt;=$D8),"●","")</x:f>
        <x:v>●</x:v>
      </x:c>
      <x:c r="T8" s="102" t="str">
        <x:f>IF(AND(10&gt;=$C8,10&lt;=$D8),"●","")</x:f>
      </x:c>
      <x:c r="U8" s="102" t="str">
        <x:f>IF(AND(11&gt;=$C8,11&lt;=$D8),"●","")</x:f>
      </x:c>
      <x:c r="V8" s="102" t="str">
        <x:f>IF(AND(12&gt;=$C8,12&lt;=$D8),"●","")</x:f>
      </x:c>
      <x:c r="W8" s="102" t="str">
        <x:f>IF(AND(13&gt;=$C8,13&lt;=$D8),"●","")</x:f>
      </x:c>
      <x:c r="X8" s="102" t="str">
        <x:f>IF(AND(14&gt;=$C8,14&lt;=$D8),"●","")</x:f>
      </x:c>
      <x:c r="Y8" s="102" t="str">
        <x:f>IF(AND(15&gt;=$C8,15&lt;=$D8),"●","")</x:f>
      </x:c>
      <x:c r="Z8" s="102" t="str">
        <x:f>IF(AND(16&gt;=$C8,16&lt;=$D8),"●","")</x:f>
      </x:c>
      <x:c r="AA8" s="102" t="str">
        <x:f>IF(AND(17&gt;=$C8,17&lt;=$D8),"●","")</x:f>
      </x:c>
      <x:c r="AB8" s="102" t="str">
        <x:f>IF(AND(18&gt;=$C8,18&lt;=$D8),"●","")</x:f>
      </x:c>
      <x:c r="AC8" s="102" t="str">
        <x:f>IF(AND(19&gt;=$C8,19&lt;=$D8),"●","")</x:f>
      </x:c>
      <x:c r="AD8" s="102" t="str">
        <x:f>IF(AND(20&gt;=$C8,20&lt;=$D8),"●","")</x:f>
      </x:c>
    </x:row>
    <x:row r="9" ht="38" customHeight="1">
      <x:c r="A9" s="23" t="str">
        <x:v>S3</x:v>
      </x:c>
      <x:c r="B9" s="23" t="str">
        <x:v>MCP 与远程 Agent 集成</x:v>
      </x:c>
      <x:c r="C9" s="29" t="n">
        <x:v>10</x:v>
      </x:c>
      <x:c r="D9" s="29" t="n">
        <x:v>13</x:v>
      </x:c>
      <x:c r="E9" s="23" t="n">
        <x:f>D9-C9+1</x:f>
        <x:v>4</x:v>
      </x:c>
      <x:c r="F9" s="23" t="str">
        <x:v>G3</x:v>
      </x:c>
      <x:c r="G9" s="37" t="n">
        <x:f>SUMIF('WBS'!$B$6:$B$505,A9,'WBS'!$H$6:$H$505)</x:f>
        <x:v>54</x:v>
      </x:c>
      <x:c r="H9" s="37" t="n">
        <x:f>G9*(1+'项目总览'!$E$8)</x:f>
        <x:v>62.099999999999994</x:v>
      </x:c>
      <x:c r="I9" s="37" t="n">
        <x:f>E9*'项目总览'!$E$6*'项目总览'!$E$7*SUM('项目总览'!$C$16:$C$21)</x:f>
        <x:v>80</x:v>
      </x:c>
      <x:c r="J9" s="99" t="n">
        <x:f>IFERROR(H9/I9,0)</x:f>
        <x:v>0.7762499999999999</x:v>
      </x:c>
      <x:c r="K9" s="103" t="str">
        <x:f>IF(AND(1&gt;=$C9,1&lt;=$D9),"●","")</x:f>
      </x:c>
      <x:c r="L9" s="103" t="str">
        <x:f>IF(AND(2&gt;=$C9,2&lt;=$D9),"●","")</x:f>
      </x:c>
      <x:c r="M9" s="103" t="str">
        <x:f>IF(AND(3&gt;=$C9,3&lt;=$D9),"●","")</x:f>
      </x:c>
      <x:c r="N9" s="103" t="str">
        <x:f>IF(AND(4&gt;=$C9,4&lt;=$D9),"●","")</x:f>
      </x:c>
      <x:c r="O9" s="103" t="str">
        <x:f>IF(AND(5&gt;=$C9,5&lt;=$D9),"●","")</x:f>
      </x:c>
      <x:c r="P9" s="103" t="str">
        <x:f>IF(AND(6&gt;=$C9,6&lt;=$D9),"●","")</x:f>
      </x:c>
      <x:c r="Q9" s="103" t="str">
        <x:f>IF(AND(7&gt;=$C9,7&lt;=$D9),"●","")</x:f>
      </x:c>
      <x:c r="R9" s="103" t="str">
        <x:f>IF(AND(8&gt;=$C9,8&lt;=$D9),"●","")</x:f>
      </x:c>
      <x:c r="S9" s="103" t="str">
        <x:f>IF(AND(9&gt;=$C9,9&lt;=$D9),"●","")</x:f>
      </x:c>
      <x:c r="T9" s="103" t="str">
        <x:f>IF(AND(10&gt;=$C9,10&lt;=$D9),"●","")</x:f>
        <x:v>●</x:v>
      </x:c>
      <x:c r="U9" s="103" t="str">
        <x:f>IF(AND(11&gt;=$C9,11&lt;=$D9),"●","")</x:f>
        <x:v>●</x:v>
      </x:c>
      <x:c r="V9" s="103" t="str">
        <x:f>IF(AND(12&gt;=$C9,12&lt;=$D9),"●","")</x:f>
        <x:v>●</x:v>
      </x:c>
      <x:c r="W9" s="103" t="str">
        <x:f>IF(AND(13&gt;=$C9,13&lt;=$D9),"●","")</x:f>
        <x:v>●</x:v>
      </x:c>
      <x:c r="X9" s="103" t="str">
        <x:f>IF(AND(14&gt;=$C9,14&lt;=$D9),"●","")</x:f>
      </x:c>
      <x:c r="Y9" s="103" t="str">
        <x:f>IF(AND(15&gt;=$C9,15&lt;=$D9),"●","")</x:f>
      </x:c>
      <x:c r="Z9" s="103" t="str">
        <x:f>IF(AND(16&gt;=$C9,16&lt;=$D9),"●","")</x:f>
      </x:c>
      <x:c r="AA9" s="103" t="str">
        <x:f>IF(AND(17&gt;=$C9,17&lt;=$D9),"●","")</x:f>
      </x:c>
      <x:c r="AB9" s="103" t="str">
        <x:f>IF(AND(18&gt;=$C9,18&lt;=$D9),"●","")</x:f>
      </x:c>
      <x:c r="AC9" s="103" t="str">
        <x:f>IF(AND(19&gt;=$C9,19&lt;=$D9),"●","")</x:f>
      </x:c>
      <x:c r="AD9" s="103" t="str">
        <x:f>IF(AND(20&gt;=$C9,20&lt;=$D9),"●","")</x:f>
      </x:c>
    </x:row>
    <x:row r="10" ht="38" customHeight="1">
      <x:c r="A10" s="26" t="str">
        <x:v>S4</x:v>
      </x:c>
      <x:c r="B10" s="26" t="str">
        <x:v>发布治理与商业化准备</x:v>
      </x:c>
      <x:c r="C10" s="28" t="n">
        <x:v>14</x:v>
      </x:c>
      <x:c r="D10" s="28" t="n">
        <x:v>17</x:v>
      </x:c>
      <x:c r="E10" s="26" t="n">
        <x:f>D10-C10+1</x:f>
        <x:v>4</x:v>
      </x:c>
      <x:c r="F10" s="26" t="str">
        <x:v>G4</x:v>
      </x:c>
      <x:c r="G10" s="36" t="n">
        <x:f>SUMIF('WBS'!$B$6:$B$505,A10,'WBS'!$H$6:$H$505)</x:f>
        <x:v>54</x:v>
      </x:c>
      <x:c r="H10" s="36" t="n">
        <x:f>G10*(1+'项目总览'!$E$8)</x:f>
        <x:v>62.099999999999994</x:v>
      </x:c>
      <x:c r="I10" s="36" t="n">
        <x:f>E10*'项目总览'!$E$6*'项目总览'!$E$7*SUM('项目总览'!$C$16:$C$21)</x:f>
        <x:v>80</x:v>
      </x:c>
      <x:c r="J10" s="98" t="n">
        <x:f>IFERROR(H10/I10,0)</x:f>
        <x:v>0.7762499999999999</x:v>
      </x:c>
      <x:c r="K10" s="102" t="str">
        <x:f>IF(AND(1&gt;=$C10,1&lt;=$D10),"●","")</x:f>
      </x:c>
      <x:c r="L10" s="102" t="str">
        <x:f>IF(AND(2&gt;=$C10,2&lt;=$D10),"●","")</x:f>
      </x:c>
      <x:c r="M10" s="102" t="str">
        <x:f>IF(AND(3&gt;=$C10,3&lt;=$D10),"●","")</x:f>
      </x:c>
      <x:c r="N10" s="102" t="str">
        <x:f>IF(AND(4&gt;=$C10,4&lt;=$D10),"●","")</x:f>
      </x:c>
      <x:c r="O10" s="102" t="str">
        <x:f>IF(AND(5&gt;=$C10,5&lt;=$D10),"●","")</x:f>
      </x:c>
      <x:c r="P10" s="102" t="str">
        <x:f>IF(AND(6&gt;=$C10,6&lt;=$D10),"●","")</x:f>
      </x:c>
      <x:c r="Q10" s="102" t="str">
        <x:f>IF(AND(7&gt;=$C10,7&lt;=$D10),"●","")</x:f>
      </x:c>
      <x:c r="R10" s="102" t="str">
        <x:f>IF(AND(8&gt;=$C10,8&lt;=$D10),"●","")</x:f>
      </x:c>
      <x:c r="S10" s="102" t="str">
        <x:f>IF(AND(9&gt;=$C10,9&lt;=$D10),"●","")</x:f>
      </x:c>
      <x:c r="T10" s="102" t="str">
        <x:f>IF(AND(10&gt;=$C10,10&lt;=$D10),"●","")</x:f>
      </x:c>
      <x:c r="U10" s="102" t="str">
        <x:f>IF(AND(11&gt;=$C10,11&lt;=$D10),"●","")</x:f>
      </x:c>
      <x:c r="V10" s="102" t="str">
        <x:f>IF(AND(12&gt;=$C10,12&lt;=$D10),"●","")</x:f>
      </x:c>
      <x:c r="W10" s="102" t="str">
        <x:f>IF(AND(13&gt;=$C10,13&lt;=$D10),"●","")</x:f>
      </x:c>
      <x:c r="X10" s="102" t="str">
        <x:f>IF(AND(14&gt;=$C10,14&lt;=$D10),"●","")</x:f>
        <x:v>●</x:v>
      </x:c>
      <x:c r="Y10" s="102" t="str">
        <x:f>IF(AND(15&gt;=$C10,15&lt;=$D10),"●","")</x:f>
        <x:v>●</x:v>
      </x:c>
      <x:c r="Z10" s="102" t="str">
        <x:f>IF(AND(16&gt;=$C10,16&lt;=$D10),"●","")</x:f>
        <x:v>●</x:v>
      </x:c>
      <x:c r="AA10" s="102" t="str">
        <x:f>IF(AND(17&gt;=$C10,17&lt;=$D10),"●","")</x:f>
        <x:v>●</x:v>
      </x:c>
      <x:c r="AB10" s="102" t="str">
        <x:f>IF(AND(18&gt;=$C10,18&lt;=$D10),"●","")</x:f>
      </x:c>
      <x:c r="AC10" s="102" t="str">
        <x:f>IF(AND(19&gt;=$C10,19&lt;=$D10),"●","")</x:f>
      </x:c>
      <x:c r="AD10" s="102" t="str">
        <x:f>IF(AND(20&gt;=$C10,20&lt;=$D10),"●","")</x:f>
      </x:c>
    </x:row>
    <x:row r="11" ht="38" customHeight="1">
      <x:c r="A11" s="23" t="str">
        <x:v>S5</x:v>
      </x:c>
      <x:c r="B11" s="23" t="str">
        <x:v>加固、演练与受控上线</x:v>
      </x:c>
      <x:c r="C11" s="29" t="n">
        <x:v>18</x:v>
      </x:c>
      <x:c r="D11" s="29" t="n">
        <x:v>20</x:v>
      </x:c>
      <x:c r="E11" s="23" t="n">
        <x:f>D11-C11+1</x:f>
        <x:v>3</x:v>
      </x:c>
      <x:c r="F11" s="23" t="str">
        <x:v>G5</x:v>
      </x:c>
      <x:c r="G11" s="37" t="n">
        <x:f>SUMIF('WBS'!$B$6:$B$505,A11,'WBS'!$H$6:$H$505)</x:f>
        <x:v>39</x:v>
      </x:c>
      <x:c r="H11" s="37" t="n">
        <x:f>G11*(1+'项目总览'!$E$8)</x:f>
        <x:v>44.849999999999994</x:v>
      </x:c>
      <x:c r="I11" s="37" t="n">
        <x:f>E11*'项目总览'!$E$6*'项目总览'!$E$7*SUM('项目总览'!$C$16:$C$21)</x:f>
        <x:v>60</x:v>
      </x:c>
      <x:c r="J11" s="99" t="n">
        <x:f>IFERROR(H11/I11,0)</x:f>
        <x:v>0.7474999999999999</x:v>
      </x:c>
      <x:c r="K11" s="103" t="str">
        <x:f>IF(AND(1&gt;=$C11,1&lt;=$D11),"●","")</x:f>
      </x:c>
      <x:c r="L11" s="103" t="str">
        <x:f>IF(AND(2&gt;=$C11,2&lt;=$D11),"●","")</x:f>
      </x:c>
      <x:c r="M11" s="103" t="str">
        <x:f>IF(AND(3&gt;=$C11,3&lt;=$D11),"●","")</x:f>
      </x:c>
      <x:c r="N11" s="103" t="str">
        <x:f>IF(AND(4&gt;=$C11,4&lt;=$D11),"●","")</x:f>
      </x:c>
      <x:c r="O11" s="103" t="str">
        <x:f>IF(AND(5&gt;=$C11,5&lt;=$D11),"●","")</x:f>
      </x:c>
      <x:c r="P11" s="103" t="str">
        <x:f>IF(AND(6&gt;=$C11,6&lt;=$D11),"●","")</x:f>
      </x:c>
      <x:c r="Q11" s="103" t="str">
        <x:f>IF(AND(7&gt;=$C11,7&lt;=$D11),"●","")</x:f>
      </x:c>
      <x:c r="R11" s="103" t="str">
        <x:f>IF(AND(8&gt;=$C11,8&lt;=$D11),"●","")</x:f>
      </x:c>
      <x:c r="S11" s="103" t="str">
        <x:f>IF(AND(9&gt;=$C11,9&lt;=$D11),"●","")</x:f>
      </x:c>
      <x:c r="T11" s="103" t="str">
        <x:f>IF(AND(10&gt;=$C11,10&lt;=$D11),"●","")</x:f>
      </x:c>
      <x:c r="U11" s="103" t="str">
        <x:f>IF(AND(11&gt;=$C11,11&lt;=$D11),"●","")</x:f>
      </x:c>
      <x:c r="V11" s="103" t="str">
        <x:f>IF(AND(12&gt;=$C11,12&lt;=$D11),"●","")</x:f>
      </x:c>
      <x:c r="W11" s="103" t="str">
        <x:f>IF(AND(13&gt;=$C11,13&lt;=$D11),"●","")</x:f>
      </x:c>
      <x:c r="X11" s="103" t="str">
        <x:f>IF(AND(14&gt;=$C11,14&lt;=$D11),"●","")</x:f>
      </x:c>
      <x:c r="Y11" s="103" t="str">
        <x:f>IF(AND(15&gt;=$C11,15&lt;=$D11),"●","")</x:f>
      </x:c>
      <x:c r="Z11" s="103" t="str">
        <x:f>IF(AND(16&gt;=$C11,16&lt;=$D11),"●","")</x:f>
      </x:c>
      <x:c r="AA11" s="103" t="str">
        <x:f>IF(AND(17&gt;=$C11,17&lt;=$D11),"●","")</x:f>
      </x:c>
      <x:c r="AB11" s="103" t="str">
        <x:f>IF(AND(18&gt;=$C11,18&lt;=$D11),"●","")</x:f>
        <x:v>●</x:v>
      </x:c>
      <x:c r="AC11" s="103" t="str">
        <x:f>IF(AND(19&gt;=$C11,19&lt;=$D11),"●","")</x:f>
        <x:v>●</x:v>
      </x:c>
      <x:c r="AD11" s="103" t="str">
        <x:f>IF(AND(20&gt;=$C11,20&lt;=$D11),"●","")</x:f>
        <x:v>●</x:v>
      </x:c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</x:row>
  </x:sheetData>
  <x:mergeCells>
    <x:mergeCell ref="A1:AD1"/>
    <x:mergeCell ref="A2:AD3"/>
  </x:mergeCells>
  <x:conditionalFormatting sqref="K6:AD11">
    <x:cfRule type="expression" dxfId="3" priority="1">
      <x:formula>K6="●"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62f1e7754f944f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</x:cols>
  <x:sheetData>
    <x:row r="1" ht="34" customHeight="1">
      <x:c r="A1" s="5" t="str">
        <x:v>MCPX / 阶段 × 角色容量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2" customHeight="1">
      <x:c r="A2" s="10" t="str">
        <x:v>核算公式：有效容量 = 阶段周数 × 每周工作日 × 有效投入比例 × 角色 FTE。含缓冲工作量 / 有效容量 &gt; 100% 即超载。这里只做阶段级校验，不代替日级资源平衡。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 ht="22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0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0" customHeight="1">
      <x:c r="A5" s="17" t="str">
        <x:v>阶段</x:v>
      </x:c>
      <x:c r="B5" s="17" t="str">
        <x:v>角色</x:v>
      </x:c>
      <x:c r="C5" s="17" t="str">
        <x:v>角色FTE</x:v>
      </x:c>
      <x:c r="D5" s="17" t="str">
        <x:v>阶段周数</x:v>
      </x:c>
      <x:c r="E5" s="17" t="str">
        <x:v>基础人日</x:v>
      </x:c>
      <x:c r="F5" s="17" t="str">
        <x:v>含缓冲</x:v>
      </x:c>
      <x:c r="G5" s="17" t="str">
        <x:v>有效容量</x:v>
      </x:c>
      <x:c r="H5" s="17" t="str">
        <x:v>计划负载</x:v>
      </x:c>
      <x:c r="I5" s="17" t="str">
        <x:v>容量余量</x:v>
      </x:c>
      <x:c r="J5" s="17" t="str">
        <x:v>容量提示</x:v>
      </x:c>
    </x:row>
    <x:row r="6" ht="27" customHeight="1">
      <x:c r="A6" s="26" t="str">
        <x:v>S0</x:v>
      </x:c>
      <x:c r="B6" s="26" t="str">
        <x:v>BE-A</x:v>
      </x:c>
      <x:c r="C6" s="26" t="n">
        <x:f>VLOOKUP(B6,'项目总览'!$A$16:$C$21,3,FALSE)</x:f>
        <x:v>1</x:v>
      </x:c>
      <x:c r="D6" s="26" t="n">
        <x:f>VLOOKUP(A6,'阶段甘特'!$A$6:$E$11,5,FALSE)</x:f>
        <x:v>2</x:v>
      </x:c>
      <x:c r="E6" s="36" t="n">
        <x:f>SUMIFS('WBS'!$H$6:$H$505,'WBS'!$B$6:$B$505,A6,'WBS'!$D$6:$D$505,B6)</x:f>
        <x:v>5</x:v>
      </x:c>
      <x:c r="F6" s="36" t="n">
        <x:f>E6*(1+'项目总览'!$E$8)</x:f>
        <x:v>5.75</x:v>
      </x:c>
      <x:c r="G6" s="36" t="n">
        <x:f>C6*D6*'项目总览'!$E$6*'项目总览'!$E$7</x:f>
        <x:v>8</x:v>
      </x:c>
      <x:c r="H6" s="98" t="n">
        <x:f>IFERROR(F6/G6,0)</x:f>
        <x:v>0.71875</x:v>
      </x:c>
      <x:c r="I6" s="36" t="n">
        <x:f>G6-F6</x:f>
        <x:v>2.25</x:v>
      </x:c>
      <x:c r="J6" s="26" t="str">
        <x:f>IF(H6&gt;1,"超载","范围内")</x:f>
        <x:v>范围内</x:v>
      </x:c>
    </x:row>
    <x:row r="7" ht="27" customHeight="1">
      <x:c r="A7" s="23" t="str">
        <x:v>S0</x:v>
      </x:c>
      <x:c r="B7" s="23" t="str">
        <x:v>BE-B</x:v>
      </x:c>
      <x:c r="C7" s="23" t="n">
        <x:f>VLOOKUP(B7,'项目总览'!$A$16:$C$21,3,FALSE)</x:f>
        <x:v>1</x:v>
      </x:c>
      <x:c r="D7" s="23" t="n">
        <x:f>VLOOKUP(A7,'阶段甘特'!$A$6:$E$11,5,FALSE)</x:f>
        <x:v>2</x:v>
      </x:c>
      <x:c r="E7" s="37" t="n">
        <x:f>SUMIFS('WBS'!$H$6:$H$505,'WBS'!$B$6:$B$505,A7,'WBS'!$D$6:$D$505,B7)</x:f>
        <x:v>5</x:v>
      </x:c>
      <x:c r="F7" s="37" t="n">
        <x:f>E7*(1+'项目总览'!$E$8)</x:f>
        <x:v>5.75</x:v>
      </x:c>
      <x:c r="G7" s="37" t="n">
        <x:f>C7*D7*'项目总览'!$E$6*'项目总览'!$E$7</x:f>
        <x:v>8</x:v>
      </x:c>
      <x:c r="H7" s="99" t="n">
        <x:f>IFERROR(F7/G7,0)</x:f>
        <x:v>0.71875</x:v>
      </x:c>
      <x:c r="I7" s="37" t="n">
        <x:f>G7-F7</x:f>
        <x:v>2.25</x:v>
      </x:c>
      <x:c r="J7" s="23" t="str">
        <x:f>IF(H7&gt;1,"超载","范围内")</x:f>
        <x:v>范围内</x:v>
      </x:c>
    </x:row>
    <x:row r="8" ht="27" customHeight="1">
      <x:c r="A8" s="26" t="str">
        <x:v>S0</x:v>
      </x:c>
      <x:c r="B8" s="26" t="str">
        <x:v>FE</x:v>
      </x:c>
      <x:c r="C8" s="26" t="n">
        <x:f>VLOOKUP(B8,'项目总览'!$A$16:$C$21,3,FALSE)</x:f>
        <x:v>1</x:v>
      </x:c>
      <x:c r="D8" s="26" t="n">
        <x:f>VLOOKUP(A8,'阶段甘特'!$A$6:$E$11,5,FALSE)</x:f>
        <x:v>2</x:v>
      </x:c>
      <x:c r="E8" s="36" t="n">
        <x:f>SUMIFS('WBS'!$H$6:$H$505,'WBS'!$B$6:$B$505,A8,'WBS'!$D$6:$D$505,B8)</x:f>
        <x:v>3</x:v>
      </x:c>
      <x:c r="F8" s="36" t="n">
        <x:f>E8*(1+'项目总览'!$E$8)</x:f>
        <x:v>3.4499999999999997</x:v>
      </x:c>
      <x:c r="G8" s="36" t="n">
        <x:f>C8*D8*'项目总览'!$E$6*'项目总览'!$E$7</x:f>
        <x:v>8</x:v>
      </x:c>
      <x:c r="H8" s="98" t="n">
        <x:f>IFERROR(F8/G8,0)</x:f>
        <x:v>0.43124999999999997</x:v>
      </x:c>
      <x:c r="I8" s="36" t="n">
        <x:f>G8-F8</x:f>
        <x:v>4.550000000000001</x:v>
      </x:c>
      <x:c r="J8" s="26" t="str">
        <x:f>IF(H8&gt;1,"超载","范围内")</x:f>
        <x:v>范围内</x:v>
      </x:c>
    </x:row>
    <x:row r="9" ht="27" customHeight="1">
      <x:c r="A9" s="23" t="str">
        <x:v>S0</x:v>
      </x:c>
      <x:c r="B9" s="23" t="str">
        <x:v>QA</x:v>
      </x:c>
      <x:c r="C9" s="23" t="n">
        <x:f>VLOOKUP(B9,'项目总览'!$A$16:$C$21,3,FALSE)</x:f>
        <x:v>1</x:v>
      </x:c>
      <x:c r="D9" s="23" t="n">
        <x:f>VLOOKUP(A9,'阶段甘特'!$A$6:$E$11,5,FALSE)</x:f>
        <x:v>2</x:v>
      </x:c>
      <x:c r="E9" s="37" t="n">
        <x:f>SUMIFS('WBS'!$H$6:$H$505,'WBS'!$B$6:$B$505,A9,'WBS'!$D$6:$D$505,B9)</x:f>
        <x:v>3</x:v>
      </x:c>
      <x:c r="F9" s="37" t="n">
        <x:f>E9*(1+'项目总览'!$E$8)</x:f>
        <x:v>3.4499999999999997</x:v>
      </x:c>
      <x:c r="G9" s="37" t="n">
        <x:f>C9*D9*'项目总览'!$E$6*'项目总览'!$E$7</x:f>
        <x:v>8</x:v>
      </x:c>
      <x:c r="H9" s="99" t="n">
        <x:f>IFERROR(F9/G9,0)</x:f>
        <x:v>0.43124999999999997</x:v>
      </x:c>
      <x:c r="I9" s="37" t="n">
        <x:f>G9-F9</x:f>
        <x:v>4.550000000000001</x:v>
      </x:c>
      <x:c r="J9" s="23" t="str">
        <x:f>IF(H9&gt;1,"超载","范围内")</x:f>
        <x:v>范围内</x:v>
      </x:c>
    </x:row>
    <x:row r="10" ht="27" customHeight="1">
      <x:c r="A10" s="26" t="str">
        <x:v>S0</x:v>
      </x:c>
      <x:c r="B10" s="26" t="str">
        <x:v>SRE</x:v>
      </x:c>
      <x:c r="C10" s="26" t="n">
        <x:f>VLOOKUP(B10,'项目总览'!$A$16:$C$21,3,FALSE)</x:f>
        <x:v>0.5</x:v>
      </x:c>
      <x:c r="D10" s="26" t="n">
        <x:f>VLOOKUP(A10,'阶段甘特'!$A$6:$E$11,5,FALSE)</x:f>
        <x:v>2</x:v>
      </x:c>
      <x:c r="E10" s="36" t="n">
        <x:f>SUMIFS('WBS'!$H$6:$H$505,'WBS'!$B$6:$B$505,A10,'WBS'!$D$6:$D$505,B10)</x:f>
        <x:v>2</x:v>
      </x:c>
      <x:c r="F10" s="36" t="n">
        <x:f>E10*(1+'项目总览'!$E$8)</x:f>
        <x:v>2.3</x:v>
      </x:c>
      <x:c r="G10" s="36" t="n">
        <x:f>C10*D10*'项目总览'!$E$6*'项目总览'!$E$7</x:f>
        <x:v>4</x:v>
      </x:c>
      <x:c r="H10" s="98" t="n">
        <x:f>IFERROR(F10/G10,0)</x:f>
        <x:v>0.575</x:v>
      </x:c>
      <x:c r="I10" s="36" t="n">
        <x:f>G10-F10</x:f>
        <x:v>1.7000000000000002</x:v>
      </x:c>
      <x:c r="J10" s="26" t="str">
        <x:f>IF(H10&gt;1,"超载","范围内")</x:f>
        <x:v>范围内</x:v>
      </x:c>
    </x:row>
    <x:row r="11" ht="27" customHeight="1">
      <x:c r="A11" s="23" t="str">
        <x:v>S0</x:v>
      </x:c>
      <x:c r="B11" s="23" t="str">
        <x:v>PM</x:v>
      </x:c>
      <x:c r="C11" s="23" t="n">
        <x:f>VLOOKUP(B11,'项目总览'!$A$16:$C$21,3,FALSE)</x:f>
        <x:v>0.5</x:v>
      </x:c>
      <x:c r="D11" s="23" t="n">
        <x:f>VLOOKUP(A11,'阶段甘特'!$A$6:$E$11,5,FALSE)</x:f>
        <x:v>2</x:v>
      </x:c>
      <x:c r="E11" s="37" t="n">
        <x:f>SUMIFS('WBS'!$H$6:$H$505,'WBS'!$B$6:$B$505,A11,'WBS'!$D$6:$D$505,B11)</x:f>
        <x:v>3.25</x:v>
      </x:c>
      <x:c r="F11" s="37" t="n">
        <x:f>E11*(1+'项目总览'!$E$8)</x:f>
        <x:v>3.7375</x:v>
      </x:c>
      <x:c r="G11" s="37" t="n">
        <x:f>C11*D11*'项目总览'!$E$6*'项目总览'!$E$7</x:f>
        <x:v>4</x:v>
      </x:c>
      <x:c r="H11" s="99" t="n">
        <x:f>IFERROR(F11/G11,0)</x:f>
        <x:v>0.934375</x:v>
      </x:c>
      <x:c r="I11" s="37" t="n">
        <x:f>G11-F11</x:f>
        <x:v>0.2625000000000002</x:v>
      </x:c>
      <x:c r="J11" s="23" t="str">
        <x:f>IF(H11&gt;1,"超载","范围内")</x:f>
        <x:v>范围内</x:v>
      </x:c>
    </x:row>
    <x:row r="12" ht="27" customHeight="1">
      <x:c r="A12" s="26" t="str">
        <x:v>S1</x:v>
      </x:c>
      <x:c r="B12" s="26" t="str">
        <x:v>BE-A</x:v>
      </x:c>
      <x:c r="C12" s="26" t="n">
        <x:f>VLOOKUP(B12,'项目总览'!$A$16:$C$21,3,FALSE)</x:f>
        <x:v>1</x:v>
      </x:c>
      <x:c r="D12" s="26" t="n">
        <x:f>VLOOKUP(A12,'阶段甘特'!$A$6:$E$11,5,FALSE)</x:f>
        <x:v>3</x:v>
      </x:c>
      <x:c r="E12" s="36" t="n">
        <x:f>SUMIFS('WBS'!$H$6:$H$505,'WBS'!$B$6:$B$505,A12,'WBS'!$D$6:$D$505,B12)</x:f>
        <x:v>8</x:v>
      </x:c>
      <x:c r="F12" s="36" t="n">
        <x:f>E12*(1+'项目总览'!$E$8)</x:f>
        <x:v>9.2</x:v>
      </x:c>
      <x:c r="G12" s="36" t="n">
        <x:f>C12*D12*'项目总览'!$E$6*'项目总览'!$E$7</x:f>
        <x:v>12</x:v>
      </x:c>
      <x:c r="H12" s="98" t="n">
        <x:f>IFERROR(F12/G12,0)</x:f>
        <x:v>0.7666666666666666</x:v>
      </x:c>
      <x:c r="I12" s="36" t="n">
        <x:f>G12-F12</x:f>
        <x:v>2.8000000000000007</x:v>
      </x:c>
      <x:c r="J12" s="26" t="str">
        <x:f>IF(H12&gt;1,"超载","范围内")</x:f>
        <x:v>范围内</x:v>
      </x:c>
    </x:row>
    <x:row r="13" ht="27" customHeight="1">
      <x:c r="A13" s="23" t="str">
        <x:v>S1</x:v>
      </x:c>
      <x:c r="B13" s="23" t="str">
        <x:v>BE-B</x:v>
      </x:c>
      <x:c r="C13" s="23" t="n">
        <x:f>VLOOKUP(B13,'项目总览'!$A$16:$C$21,3,FALSE)</x:f>
        <x:v>1</x:v>
      </x:c>
      <x:c r="D13" s="23" t="n">
        <x:f>VLOOKUP(A13,'阶段甘特'!$A$6:$E$11,5,FALSE)</x:f>
        <x:v>3</x:v>
      </x:c>
      <x:c r="E13" s="37" t="n">
        <x:f>SUMIFS('WBS'!$H$6:$H$505,'WBS'!$B$6:$B$505,A13,'WBS'!$D$6:$D$505,B13)</x:f>
        <x:v>8</x:v>
      </x:c>
      <x:c r="F13" s="37" t="n">
        <x:f>E13*(1+'项目总览'!$E$8)</x:f>
        <x:v>9.2</x:v>
      </x:c>
      <x:c r="G13" s="37" t="n">
        <x:f>C13*D13*'项目总览'!$E$6*'项目总览'!$E$7</x:f>
        <x:v>12</x:v>
      </x:c>
      <x:c r="H13" s="99" t="n">
        <x:f>IFERROR(F13/G13,0)</x:f>
        <x:v>0.7666666666666666</x:v>
      </x:c>
      <x:c r="I13" s="37" t="n">
        <x:f>G13-F13</x:f>
        <x:v>2.8000000000000007</x:v>
      </x:c>
      <x:c r="J13" s="23" t="str">
        <x:f>IF(H13&gt;1,"超载","范围内")</x:f>
        <x:v>范围内</x:v>
      </x:c>
    </x:row>
    <x:row r="14" ht="27" customHeight="1">
      <x:c r="A14" s="26" t="str">
        <x:v>S1</x:v>
      </x:c>
      <x:c r="B14" s="26" t="str">
        <x:v>FE</x:v>
      </x:c>
      <x:c r="C14" s="26" t="n">
        <x:f>VLOOKUP(B14,'项目总览'!$A$16:$C$21,3,FALSE)</x:f>
        <x:v>1</x:v>
      </x:c>
      <x:c r="D14" s="26" t="n">
        <x:f>VLOOKUP(A14,'阶段甘特'!$A$6:$E$11,5,FALSE)</x:f>
        <x:v>3</x:v>
      </x:c>
      <x:c r="E14" s="36" t="n">
        <x:f>SUMIFS('WBS'!$H$6:$H$505,'WBS'!$B$6:$B$505,A14,'WBS'!$D$6:$D$505,B14)</x:f>
        <x:v>10</x:v>
      </x:c>
      <x:c r="F14" s="36" t="n">
        <x:f>E14*(1+'项目总览'!$E$8)</x:f>
        <x:v>11.5</x:v>
      </x:c>
      <x:c r="G14" s="36" t="n">
        <x:f>C14*D14*'项目总览'!$E$6*'项目总览'!$E$7</x:f>
        <x:v>12</x:v>
      </x:c>
      <x:c r="H14" s="98" t="n">
        <x:f>IFERROR(F14/G14,0)</x:f>
        <x:v>0.9583333333333334</x:v>
      </x:c>
      <x:c r="I14" s="36" t="n">
        <x:f>G14-F14</x:f>
        <x:v>0.5</x:v>
      </x:c>
      <x:c r="J14" s="26" t="str">
        <x:f>IF(H14&gt;1,"超载","范围内")</x:f>
        <x:v>范围内</x:v>
      </x:c>
    </x:row>
    <x:row r="15" ht="27" customHeight="1">
      <x:c r="A15" s="23" t="str">
        <x:v>S1</x:v>
      </x:c>
      <x:c r="B15" s="23" t="str">
        <x:v>QA</x:v>
      </x:c>
      <x:c r="C15" s="23" t="n">
        <x:f>VLOOKUP(B15,'项目总览'!$A$16:$C$21,3,FALSE)</x:f>
        <x:v>1</x:v>
      </x:c>
      <x:c r="D15" s="23" t="n">
        <x:f>VLOOKUP(A15,'阶段甘特'!$A$6:$E$11,5,FALSE)</x:f>
        <x:v>3</x:v>
      </x:c>
      <x:c r="E15" s="37" t="n">
        <x:f>SUMIFS('WBS'!$H$6:$H$505,'WBS'!$B$6:$B$505,A15,'WBS'!$D$6:$D$505,B15)</x:f>
        <x:v>6</x:v>
      </x:c>
      <x:c r="F15" s="37" t="n">
        <x:f>E15*(1+'项目总览'!$E$8)</x:f>
        <x:v>6.8999999999999995</x:v>
      </x:c>
      <x:c r="G15" s="37" t="n">
        <x:f>C15*D15*'项目总览'!$E$6*'项目总览'!$E$7</x:f>
        <x:v>12</x:v>
      </x:c>
      <x:c r="H15" s="99" t="n">
        <x:f>IFERROR(F15/G15,0)</x:f>
        <x:v>0.575</x:v>
      </x:c>
      <x:c r="I15" s="37" t="n">
        <x:f>G15-F15</x:f>
        <x:v>5.1000000000000005</x:v>
      </x:c>
      <x:c r="J15" s="23" t="str">
        <x:f>IF(H15&gt;1,"超载","范围内")</x:f>
        <x:v>范围内</x:v>
      </x:c>
    </x:row>
    <x:row r="16" ht="27" customHeight="1">
      <x:c r="A16" s="26" t="str">
        <x:v>S1</x:v>
      </x:c>
      <x:c r="B16" s="26" t="str">
        <x:v>SRE</x:v>
      </x:c>
      <x:c r="C16" s="26" t="n">
        <x:f>VLOOKUP(B16,'项目总览'!$A$16:$C$21,3,FALSE)</x:f>
        <x:v>0.5</x:v>
      </x:c>
      <x:c r="D16" s="26" t="n">
        <x:f>VLOOKUP(A16,'阶段甘特'!$A$6:$E$11,5,FALSE)</x:f>
        <x:v>3</x:v>
      </x:c>
      <x:c r="E16" s="36" t="n">
        <x:f>SUMIFS('WBS'!$H$6:$H$505,'WBS'!$B$6:$B$505,A16,'WBS'!$D$6:$D$505,B16)</x:f>
        <x:v>5</x:v>
      </x:c>
      <x:c r="F16" s="36" t="n">
        <x:f>E16*(1+'项目总览'!$E$8)</x:f>
        <x:v>5.75</x:v>
      </x:c>
      <x:c r="G16" s="36" t="n">
        <x:f>C16*D16*'项目总览'!$E$6*'项目总览'!$E$7</x:f>
        <x:v>6</x:v>
      </x:c>
      <x:c r="H16" s="98" t="n">
        <x:f>IFERROR(F16/G16,0)</x:f>
        <x:v>0.9583333333333334</x:v>
      </x:c>
      <x:c r="I16" s="36" t="n">
        <x:f>G16-F16</x:f>
        <x:v>0.25</x:v>
      </x:c>
      <x:c r="J16" s="26" t="str">
        <x:f>IF(H16&gt;1,"超载","范围内")</x:f>
        <x:v>范围内</x:v>
      </x:c>
    </x:row>
    <x:row r="17" ht="27" customHeight="1">
      <x:c r="A17" s="23" t="str">
        <x:v>S1</x:v>
      </x:c>
      <x:c r="B17" s="23" t="str">
        <x:v>PM</x:v>
      </x:c>
      <x:c r="C17" s="23" t="n">
        <x:f>VLOOKUP(B17,'项目总览'!$A$16:$C$21,3,FALSE)</x:f>
        <x:v>0.5</x:v>
      </x:c>
      <x:c r="D17" s="23" t="n">
        <x:f>VLOOKUP(A17,'阶段甘特'!$A$6:$E$11,5,FALSE)</x:f>
        <x:v>3</x:v>
      </x:c>
      <x:c r="E17" s="37" t="n">
        <x:f>SUMIFS('WBS'!$H$6:$H$505,'WBS'!$B$6:$B$505,A17,'WBS'!$D$6:$D$505,B17)</x:f>
        <x:v>1</x:v>
      </x:c>
      <x:c r="F17" s="37" t="n">
        <x:f>E17*(1+'项目总览'!$E$8)</x:f>
        <x:v>1.15</x:v>
      </x:c>
      <x:c r="G17" s="37" t="n">
        <x:f>C17*D17*'项目总览'!$E$6*'项目总览'!$E$7</x:f>
        <x:v>6</x:v>
      </x:c>
      <x:c r="H17" s="99" t="n">
        <x:f>IFERROR(F17/G17,0)</x:f>
        <x:v>0.19166666666666665</x:v>
      </x:c>
      <x:c r="I17" s="37" t="n">
        <x:f>G17-F17</x:f>
        <x:v>4.85</x:v>
      </x:c>
      <x:c r="J17" s="23" t="str">
        <x:f>IF(H17&gt;1,"超载","范围内")</x:f>
        <x:v>范围内</x:v>
      </x:c>
    </x:row>
    <x:row r="18" ht="27" customHeight="1">
      <x:c r="A18" s="26" t="str">
        <x:v>S2</x:v>
      </x:c>
      <x:c r="B18" s="26" t="str">
        <x:v>BE-A</x:v>
      </x:c>
      <x:c r="C18" s="26" t="n">
        <x:f>VLOOKUP(B18,'项目总览'!$A$16:$C$21,3,FALSE)</x:f>
        <x:v>1</x:v>
      </x:c>
      <x:c r="D18" s="26" t="n">
        <x:f>VLOOKUP(A18,'阶段甘特'!$A$6:$E$11,5,FALSE)</x:f>
        <x:v>4</x:v>
      </x:c>
      <x:c r="E18" s="36" t="n">
        <x:f>SUMIFS('WBS'!$H$6:$H$505,'WBS'!$B$6:$B$505,A18,'WBS'!$D$6:$D$505,B18)</x:f>
        <x:v>13</x:v>
      </x:c>
      <x:c r="F18" s="36" t="n">
        <x:f>E18*(1+'项目总览'!$E$8)</x:f>
        <x:v>14.95</x:v>
      </x:c>
      <x:c r="G18" s="36" t="n">
        <x:f>C18*D18*'项目总览'!$E$6*'项目总览'!$E$7</x:f>
        <x:v>16</x:v>
      </x:c>
      <x:c r="H18" s="98" t="n">
        <x:f>IFERROR(F18/G18,0)</x:f>
        <x:v>0.934375</x:v>
      </x:c>
      <x:c r="I18" s="36" t="n">
        <x:f>G18-F18</x:f>
        <x:v>1.0500000000000007</x:v>
      </x:c>
      <x:c r="J18" s="26" t="str">
        <x:f>IF(H18&gt;1,"超载","范围内")</x:f>
        <x:v>范围内</x:v>
      </x:c>
    </x:row>
    <x:row r="19" ht="27" customHeight="1">
      <x:c r="A19" s="23" t="str">
        <x:v>S2</x:v>
      </x:c>
      <x:c r="B19" s="23" t="str">
        <x:v>BE-B</x:v>
      </x:c>
      <x:c r="C19" s="23" t="n">
        <x:f>VLOOKUP(B19,'项目总览'!$A$16:$C$21,3,FALSE)</x:f>
        <x:v>1</x:v>
      </x:c>
      <x:c r="D19" s="23" t="n">
        <x:f>VLOOKUP(A19,'阶段甘特'!$A$6:$E$11,5,FALSE)</x:f>
        <x:v>4</x:v>
      </x:c>
      <x:c r="E19" s="37" t="n">
        <x:f>SUMIFS('WBS'!$H$6:$H$505,'WBS'!$B$6:$B$505,A19,'WBS'!$D$6:$D$505,B19)</x:f>
        <x:v>13</x:v>
      </x:c>
      <x:c r="F19" s="37" t="n">
        <x:f>E19*(1+'项目总览'!$E$8)</x:f>
        <x:v>14.95</x:v>
      </x:c>
      <x:c r="G19" s="37" t="n">
        <x:f>C19*D19*'项目总览'!$E$6*'项目总览'!$E$7</x:f>
        <x:v>16</x:v>
      </x:c>
      <x:c r="H19" s="99" t="n">
        <x:f>IFERROR(F19/G19,0)</x:f>
        <x:v>0.934375</x:v>
      </x:c>
      <x:c r="I19" s="37" t="n">
        <x:f>G19-F19</x:f>
        <x:v>1.0500000000000007</x:v>
      </x:c>
      <x:c r="J19" s="23" t="str">
        <x:f>IF(H19&gt;1,"超载","范围内")</x:f>
        <x:v>范围内</x:v>
      </x:c>
    </x:row>
    <x:row r="20" ht="27" customHeight="1">
      <x:c r="A20" s="26" t="str">
        <x:v>S2</x:v>
      </x:c>
      <x:c r="B20" s="26" t="str">
        <x:v>FE</x:v>
      </x:c>
      <x:c r="C20" s="26" t="n">
        <x:f>VLOOKUP(B20,'项目总览'!$A$16:$C$21,3,FALSE)</x:f>
        <x:v>1</x:v>
      </x:c>
      <x:c r="D20" s="26" t="n">
        <x:f>VLOOKUP(A20,'阶段甘特'!$A$6:$E$11,5,FALSE)</x:f>
        <x:v>4</x:v>
      </x:c>
      <x:c r="E20" s="36" t="n">
        <x:f>SUMIFS('WBS'!$H$6:$H$505,'WBS'!$B$6:$B$505,A20,'WBS'!$D$6:$D$505,B20)</x:f>
        <x:v>12</x:v>
      </x:c>
      <x:c r="F20" s="36" t="n">
        <x:f>E20*(1+'项目总览'!$E$8)</x:f>
        <x:v>13.799999999999999</x:v>
      </x:c>
      <x:c r="G20" s="36" t="n">
        <x:f>C20*D20*'项目总览'!$E$6*'项目总览'!$E$7</x:f>
        <x:v>16</x:v>
      </x:c>
      <x:c r="H20" s="98" t="n">
        <x:f>IFERROR(F20/G20,0)</x:f>
        <x:v>0.8624999999999999</x:v>
      </x:c>
      <x:c r="I20" s="36" t="n">
        <x:f>G20-F20</x:f>
        <x:v>2.200000000000001</x:v>
      </x:c>
      <x:c r="J20" s="26" t="str">
        <x:f>IF(H20&gt;1,"超载","范围内")</x:f>
        <x:v>范围内</x:v>
      </x:c>
    </x:row>
    <x:row r="21" ht="27" customHeight="1">
      <x:c r="A21" s="23" t="str">
        <x:v>S2</x:v>
      </x:c>
      <x:c r="B21" s="23" t="str">
        <x:v>QA</x:v>
      </x:c>
      <x:c r="C21" s="23" t="n">
        <x:f>VLOOKUP(B21,'项目总览'!$A$16:$C$21,3,FALSE)</x:f>
        <x:v>1</x:v>
      </x:c>
      <x:c r="D21" s="23" t="n">
        <x:f>VLOOKUP(A21,'阶段甘特'!$A$6:$E$11,5,FALSE)</x:f>
        <x:v>4</x:v>
      </x:c>
      <x:c r="E21" s="37" t="n">
        <x:f>SUMIFS('WBS'!$H$6:$H$505,'WBS'!$B$6:$B$505,A21,'WBS'!$D$6:$D$505,B21)</x:f>
        <x:v>10</x:v>
      </x:c>
      <x:c r="F21" s="37" t="n">
        <x:f>E21*(1+'项目总览'!$E$8)</x:f>
        <x:v>11.5</x:v>
      </x:c>
      <x:c r="G21" s="37" t="n">
        <x:f>C21*D21*'项目总览'!$E$6*'项目总览'!$E$7</x:f>
        <x:v>16</x:v>
      </x:c>
      <x:c r="H21" s="99" t="n">
        <x:f>IFERROR(F21/G21,0)</x:f>
        <x:v>0.71875</x:v>
      </x:c>
      <x:c r="I21" s="37" t="n">
        <x:f>G21-F21</x:f>
        <x:v>4.5</x:v>
      </x:c>
      <x:c r="J21" s="23" t="str">
        <x:f>IF(H21&gt;1,"超载","范围内")</x:f>
        <x:v>范围内</x:v>
      </x:c>
    </x:row>
    <x:row r="22" ht="27" customHeight="1">
      <x:c r="A22" s="26" t="str">
        <x:v>S2</x:v>
      </x:c>
      <x:c r="B22" s="26" t="str">
        <x:v>SRE</x:v>
      </x:c>
      <x:c r="C22" s="26" t="n">
        <x:f>VLOOKUP(B22,'项目总览'!$A$16:$C$21,3,FALSE)</x:f>
        <x:v>0.5</x:v>
      </x:c>
      <x:c r="D22" s="26" t="n">
        <x:f>VLOOKUP(A22,'阶段甘特'!$A$6:$E$11,5,FALSE)</x:f>
        <x:v>4</x:v>
      </x:c>
      <x:c r="E22" s="36" t="n">
        <x:f>SUMIFS('WBS'!$H$6:$H$505,'WBS'!$B$6:$B$505,A22,'WBS'!$D$6:$D$505,B22)</x:f>
        <x:v>5</x:v>
      </x:c>
      <x:c r="F22" s="36" t="n">
        <x:f>E22*(1+'项目总览'!$E$8)</x:f>
        <x:v>5.75</x:v>
      </x:c>
      <x:c r="G22" s="36" t="n">
        <x:f>C22*D22*'项目总览'!$E$6*'项目总览'!$E$7</x:f>
        <x:v>8</x:v>
      </x:c>
      <x:c r="H22" s="98" t="n">
        <x:f>IFERROR(F22/G22,0)</x:f>
        <x:v>0.71875</x:v>
      </x:c>
      <x:c r="I22" s="36" t="n">
        <x:f>G22-F22</x:f>
        <x:v>2.25</x:v>
      </x:c>
      <x:c r="J22" s="26" t="str">
        <x:f>IF(H22&gt;1,"超载","范围内")</x:f>
        <x:v>范围内</x:v>
      </x:c>
    </x:row>
    <x:row r="23" ht="27" customHeight="1">
      <x:c r="A23" s="23" t="str">
        <x:v>S2</x:v>
      </x:c>
      <x:c r="B23" s="23" t="str">
        <x:v>PM</x:v>
      </x:c>
      <x:c r="C23" s="23" t="n">
        <x:f>VLOOKUP(B23,'项目总览'!$A$16:$C$21,3,FALSE)</x:f>
        <x:v>0.5</x:v>
      </x:c>
      <x:c r="D23" s="23" t="n">
        <x:f>VLOOKUP(A23,'阶段甘特'!$A$6:$E$11,5,FALSE)</x:f>
        <x:v>4</x:v>
      </x:c>
      <x:c r="E23" s="37" t="n">
        <x:f>SUMIFS('WBS'!$H$6:$H$505,'WBS'!$B$6:$B$505,A23,'WBS'!$D$6:$D$505,B23)</x:f>
        <x:v>2</x:v>
      </x:c>
      <x:c r="F23" s="37" t="n">
        <x:f>E23*(1+'项目总览'!$E$8)</x:f>
        <x:v>2.3</x:v>
      </x:c>
      <x:c r="G23" s="37" t="n">
        <x:f>C23*D23*'项目总览'!$E$6*'项目总览'!$E$7</x:f>
        <x:v>8</x:v>
      </x:c>
      <x:c r="H23" s="99" t="n">
        <x:f>IFERROR(F23/G23,0)</x:f>
        <x:v>0.2875</x:v>
      </x:c>
      <x:c r="I23" s="37" t="n">
        <x:f>G23-F23</x:f>
        <x:v>5.7</x:v>
      </x:c>
      <x:c r="J23" s="23" t="str">
        <x:f>IF(H23&gt;1,"超载","范围内")</x:f>
        <x:v>范围内</x:v>
      </x:c>
    </x:row>
    <x:row r="24" ht="27" customHeight="1">
      <x:c r="A24" s="26" t="str">
        <x:v>S3</x:v>
      </x:c>
      <x:c r="B24" s="26" t="str">
        <x:v>BE-A</x:v>
      </x:c>
      <x:c r="C24" s="26" t="n">
        <x:f>VLOOKUP(B24,'项目总览'!$A$16:$C$21,3,FALSE)</x:f>
        <x:v>1</x:v>
      </x:c>
      <x:c r="D24" s="26" t="n">
        <x:f>VLOOKUP(A24,'阶段甘特'!$A$6:$E$11,5,FALSE)</x:f>
        <x:v>4</x:v>
      </x:c>
      <x:c r="E24" s="36" t="n">
        <x:f>SUMIFS('WBS'!$H$6:$H$505,'WBS'!$B$6:$B$505,A24,'WBS'!$D$6:$D$505,B24)</x:f>
        <x:v>12</x:v>
      </x:c>
      <x:c r="F24" s="36" t="n">
        <x:f>E24*(1+'项目总览'!$E$8)</x:f>
        <x:v>13.799999999999999</x:v>
      </x:c>
      <x:c r="G24" s="36" t="n">
        <x:f>C24*D24*'项目总览'!$E$6*'项目总览'!$E$7</x:f>
        <x:v>16</x:v>
      </x:c>
      <x:c r="H24" s="98" t="n">
        <x:f>IFERROR(F24/G24,0)</x:f>
        <x:v>0.8624999999999999</x:v>
      </x:c>
      <x:c r="I24" s="36" t="n">
        <x:f>G24-F24</x:f>
        <x:v>2.200000000000001</x:v>
      </x:c>
      <x:c r="J24" s="26" t="str">
        <x:f>IF(H24&gt;1,"超载","范围内")</x:f>
        <x:v>范围内</x:v>
      </x:c>
    </x:row>
    <x:row r="25" ht="27" customHeight="1">
      <x:c r="A25" s="23" t="str">
        <x:v>S3</x:v>
      </x:c>
      <x:c r="B25" s="23" t="str">
        <x:v>BE-B</x:v>
      </x:c>
      <x:c r="C25" s="23" t="n">
        <x:f>VLOOKUP(B25,'项目总览'!$A$16:$C$21,3,FALSE)</x:f>
        <x:v>1</x:v>
      </x:c>
      <x:c r="D25" s="23" t="n">
        <x:f>VLOOKUP(A25,'阶段甘特'!$A$6:$E$11,5,FALSE)</x:f>
        <x:v>4</x:v>
      </x:c>
      <x:c r="E25" s="37" t="n">
        <x:f>SUMIFS('WBS'!$H$6:$H$505,'WBS'!$B$6:$B$505,A25,'WBS'!$D$6:$D$505,B25)</x:f>
        <x:v>13</x:v>
      </x:c>
      <x:c r="F25" s="37" t="n">
        <x:f>E25*(1+'项目总览'!$E$8)</x:f>
        <x:v>14.95</x:v>
      </x:c>
      <x:c r="G25" s="37" t="n">
        <x:f>C25*D25*'项目总览'!$E$6*'项目总览'!$E$7</x:f>
        <x:v>16</x:v>
      </x:c>
      <x:c r="H25" s="99" t="n">
        <x:f>IFERROR(F25/G25,0)</x:f>
        <x:v>0.934375</x:v>
      </x:c>
      <x:c r="I25" s="37" t="n">
        <x:f>G25-F25</x:f>
        <x:v>1.0500000000000007</x:v>
      </x:c>
      <x:c r="J25" s="23" t="str">
        <x:f>IF(H25&gt;1,"超载","范围内")</x:f>
        <x:v>范围内</x:v>
      </x:c>
    </x:row>
    <x:row r="26" ht="27" customHeight="1">
      <x:c r="A26" s="26" t="str">
        <x:v>S3</x:v>
      </x:c>
      <x:c r="B26" s="26" t="str">
        <x:v>FE</x:v>
      </x:c>
      <x:c r="C26" s="26" t="n">
        <x:f>VLOOKUP(B26,'项目总览'!$A$16:$C$21,3,FALSE)</x:f>
        <x:v>1</x:v>
      </x:c>
      <x:c r="D26" s="26" t="n">
        <x:f>VLOOKUP(A26,'阶段甘特'!$A$6:$E$11,5,FALSE)</x:f>
        <x:v>4</x:v>
      </x:c>
      <x:c r="E26" s="36" t="n">
        <x:f>SUMIFS('WBS'!$H$6:$H$505,'WBS'!$B$6:$B$505,A26,'WBS'!$D$6:$D$505,B26)</x:f>
        <x:v>12</x:v>
      </x:c>
      <x:c r="F26" s="36" t="n">
        <x:f>E26*(1+'项目总览'!$E$8)</x:f>
        <x:v>13.799999999999999</x:v>
      </x:c>
      <x:c r="G26" s="36" t="n">
        <x:f>C26*D26*'项目总览'!$E$6*'项目总览'!$E$7</x:f>
        <x:v>16</x:v>
      </x:c>
      <x:c r="H26" s="98" t="n">
        <x:f>IFERROR(F26/G26,0)</x:f>
        <x:v>0.8624999999999999</x:v>
      </x:c>
      <x:c r="I26" s="36" t="n">
        <x:f>G26-F26</x:f>
        <x:v>2.200000000000001</x:v>
      </x:c>
      <x:c r="J26" s="26" t="str">
        <x:f>IF(H26&gt;1,"超载","范围内")</x:f>
        <x:v>范围内</x:v>
      </x:c>
    </x:row>
    <x:row r="27" ht="27" customHeight="1">
      <x:c r="A27" s="23" t="str">
        <x:v>S3</x:v>
      </x:c>
      <x:c r="B27" s="23" t="str">
        <x:v>QA</x:v>
      </x:c>
      <x:c r="C27" s="23" t="n">
        <x:f>VLOOKUP(B27,'项目总览'!$A$16:$C$21,3,FALSE)</x:f>
        <x:v>1</x:v>
      </x:c>
      <x:c r="D27" s="23" t="n">
        <x:f>VLOOKUP(A27,'阶段甘特'!$A$6:$E$11,5,FALSE)</x:f>
        <x:v>4</x:v>
      </x:c>
      <x:c r="E27" s="37" t="n">
        <x:f>SUMIFS('WBS'!$H$6:$H$505,'WBS'!$B$6:$B$505,A27,'WBS'!$D$6:$D$505,B27)</x:f>
        <x:v>10</x:v>
      </x:c>
      <x:c r="F27" s="37" t="n">
        <x:f>E27*(1+'项目总览'!$E$8)</x:f>
        <x:v>11.5</x:v>
      </x:c>
      <x:c r="G27" s="37" t="n">
        <x:f>C27*D27*'项目总览'!$E$6*'项目总览'!$E$7</x:f>
        <x:v>16</x:v>
      </x:c>
      <x:c r="H27" s="99" t="n">
        <x:f>IFERROR(F27/G27,0)</x:f>
        <x:v>0.71875</x:v>
      </x:c>
      <x:c r="I27" s="37" t="n">
        <x:f>G27-F27</x:f>
        <x:v>4.5</x:v>
      </x:c>
      <x:c r="J27" s="23" t="str">
        <x:f>IF(H27&gt;1,"超载","范围内")</x:f>
        <x:v>范围内</x:v>
      </x:c>
    </x:row>
    <x:row r="28" ht="27" customHeight="1">
      <x:c r="A28" s="26" t="str">
        <x:v>S3</x:v>
      </x:c>
      <x:c r="B28" s="26" t="str">
        <x:v>SRE</x:v>
      </x:c>
      <x:c r="C28" s="26" t="n">
        <x:f>VLOOKUP(B28,'项目总览'!$A$16:$C$21,3,FALSE)</x:f>
        <x:v>0.5</x:v>
      </x:c>
      <x:c r="D28" s="26" t="n">
        <x:f>VLOOKUP(A28,'阶段甘特'!$A$6:$E$11,5,FALSE)</x:f>
        <x:v>4</x:v>
      </x:c>
      <x:c r="E28" s="36" t="n">
        <x:f>SUMIFS('WBS'!$H$6:$H$505,'WBS'!$B$6:$B$505,A28,'WBS'!$D$6:$D$505,B28)</x:f>
        <x:v>5</x:v>
      </x:c>
      <x:c r="F28" s="36" t="n">
        <x:f>E28*(1+'项目总览'!$E$8)</x:f>
        <x:v>5.75</x:v>
      </x:c>
      <x:c r="G28" s="36" t="n">
        <x:f>C28*D28*'项目总览'!$E$6*'项目总览'!$E$7</x:f>
        <x:v>8</x:v>
      </x:c>
      <x:c r="H28" s="98" t="n">
        <x:f>IFERROR(F28/G28,0)</x:f>
        <x:v>0.71875</x:v>
      </x:c>
      <x:c r="I28" s="36" t="n">
        <x:f>G28-F28</x:f>
        <x:v>2.25</x:v>
      </x:c>
      <x:c r="J28" s="26" t="str">
        <x:f>IF(H28&gt;1,"超载","范围内")</x:f>
        <x:v>范围内</x:v>
      </x:c>
    </x:row>
    <x:row r="29" ht="27" customHeight="1">
      <x:c r="A29" s="23" t="str">
        <x:v>S3</x:v>
      </x:c>
      <x:c r="B29" s="23" t="str">
        <x:v>PM</x:v>
      </x:c>
      <x:c r="C29" s="23" t="n">
        <x:f>VLOOKUP(B29,'项目总览'!$A$16:$C$21,3,FALSE)</x:f>
        <x:v>0.5</x:v>
      </x:c>
      <x:c r="D29" s="23" t="n">
        <x:f>VLOOKUP(A29,'阶段甘特'!$A$6:$E$11,5,FALSE)</x:f>
        <x:v>4</x:v>
      </x:c>
      <x:c r="E29" s="37" t="n">
        <x:f>SUMIFS('WBS'!$H$6:$H$505,'WBS'!$B$6:$B$505,A29,'WBS'!$D$6:$D$505,B29)</x:f>
        <x:v>2</x:v>
      </x:c>
      <x:c r="F29" s="37" t="n">
        <x:f>E29*(1+'项目总览'!$E$8)</x:f>
        <x:v>2.3</x:v>
      </x:c>
      <x:c r="G29" s="37" t="n">
        <x:f>C29*D29*'项目总览'!$E$6*'项目总览'!$E$7</x:f>
        <x:v>8</x:v>
      </x:c>
      <x:c r="H29" s="99" t="n">
        <x:f>IFERROR(F29/G29,0)</x:f>
        <x:v>0.2875</x:v>
      </x:c>
      <x:c r="I29" s="37" t="n">
        <x:f>G29-F29</x:f>
        <x:v>5.7</x:v>
      </x:c>
      <x:c r="J29" s="23" t="str">
        <x:f>IF(H29&gt;1,"超载","范围内")</x:f>
        <x:v>范围内</x:v>
      </x:c>
    </x:row>
    <x:row r="30" ht="27" customHeight="1">
      <x:c r="A30" s="26" t="str">
        <x:v>S4</x:v>
      </x:c>
      <x:c r="B30" s="26" t="str">
        <x:v>BE-A</x:v>
      </x:c>
      <x:c r="C30" s="26" t="n">
        <x:f>VLOOKUP(B30,'项目总览'!$A$16:$C$21,3,FALSE)</x:f>
        <x:v>1</x:v>
      </x:c>
      <x:c r="D30" s="26" t="n">
        <x:f>VLOOKUP(A30,'阶段甘特'!$A$6:$E$11,5,FALSE)</x:f>
        <x:v>4</x:v>
      </x:c>
      <x:c r="E30" s="36" t="n">
        <x:f>SUMIFS('WBS'!$H$6:$H$505,'WBS'!$B$6:$B$505,A30,'WBS'!$D$6:$D$505,B30)</x:f>
        <x:v>12</x:v>
      </x:c>
      <x:c r="F30" s="36" t="n">
        <x:f>E30*(1+'项目总览'!$E$8)</x:f>
        <x:v>13.799999999999999</x:v>
      </x:c>
      <x:c r="G30" s="36" t="n">
        <x:f>C30*D30*'项目总览'!$E$6*'项目总览'!$E$7</x:f>
        <x:v>16</x:v>
      </x:c>
      <x:c r="H30" s="98" t="n">
        <x:f>IFERROR(F30/G30,0)</x:f>
        <x:v>0.8624999999999999</x:v>
      </x:c>
      <x:c r="I30" s="36" t="n">
        <x:f>G30-F30</x:f>
        <x:v>2.200000000000001</x:v>
      </x:c>
      <x:c r="J30" s="26" t="str">
        <x:f>IF(H30&gt;1,"超载","范围内")</x:f>
        <x:v>范围内</x:v>
      </x:c>
    </x:row>
    <x:row r="31" ht="27" customHeight="1">
      <x:c r="A31" s="23" t="str">
        <x:v>S4</x:v>
      </x:c>
      <x:c r="B31" s="23" t="str">
        <x:v>BE-B</x:v>
      </x:c>
      <x:c r="C31" s="23" t="n">
        <x:f>VLOOKUP(B31,'项目总览'!$A$16:$C$21,3,FALSE)</x:f>
        <x:v>1</x:v>
      </x:c>
      <x:c r="D31" s="23" t="n">
        <x:f>VLOOKUP(A31,'阶段甘特'!$A$6:$E$11,5,FALSE)</x:f>
        <x:v>4</x:v>
      </x:c>
      <x:c r="E31" s="37" t="n">
        <x:f>SUMIFS('WBS'!$H$6:$H$505,'WBS'!$B$6:$B$505,A31,'WBS'!$D$6:$D$505,B31)</x:f>
        <x:v>12</x:v>
      </x:c>
      <x:c r="F31" s="37" t="n">
        <x:f>E31*(1+'项目总览'!$E$8)</x:f>
        <x:v>13.799999999999999</x:v>
      </x:c>
      <x:c r="G31" s="37" t="n">
        <x:f>C31*D31*'项目总览'!$E$6*'项目总览'!$E$7</x:f>
        <x:v>16</x:v>
      </x:c>
      <x:c r="H31" s="99" t="n">
        <x:f>IFERROR(F31/G31,0)</x:f>
        <x:v>0.8624999999999999</x:v>
      </x:c>
      <x:c r="I31" s="37" t="n">
        <x:f>G31-F31</x:f>
        <x:v>2.200000000000001</x:v>
      </x:c>
      <x:c r="J31" s="23" t="str">
        <x:f>IF(H31&gt;1,"超载","范围内")</x:f>
        <x:v>范围内</x:v>
      </x:c>
    </x:row>
    <x:row r="32" ht="27" customHeight="1">
      <x:c r="A32" s="26" t="str">
        <x:v>S4</x:v>
      </x:c>
      <x:c r="B32" s="26" t="str">
        <x:v>FE</x:v>
      </x:c>
      <x:c r="C32" s="26" t="n">
        <x:f>VLOOKUP(B32,'项目总览'!$A$16:$C$21,3,FALSE)</x:f>
        <x:v>1</x:v>
      </x:c>
      <x:c r="D32" s="26" t="n">
        <x:f>VLOOKUP(A32,'阶段甘特'!$A$6:$E$11,5,FALSE)</x:f>
        <x:v>4</x:v>
      </x:c>
      <x:c r="E32" s="36" t="n">
        <x:f>SUMIFS('WBS'!$H$6:$H$505,'WBS'!$B$6:$B$505,A32,'WBS'!$D$6:$D$505,B32)</x:f>
        <x:v>12</x:v>
      </x:c>
      <x:c r="F32" s="36" t="n">
        <x:f>E32*(1+'项目总览'!$E$8)</x:f>
        <x:v>13.799999999999999</x:v>
      </x:c>
      <x:c r="G32" s="36" t="n">
        <x:f>C32*D32*'项目总览'!$E$6*'项目总览'!$E$7</x:f>
        <x:v>16</x:v>
      </x:c>
      <x:c r="H32" s="98" t="n">
        <x:f>IFERROR(F32/G32,0)</x:f>
        <x:v>0.8624999999999999</x:v>
      </x:c>
      <x:c r="I32" s="36" t="n">
        <x:f>G32-F32</x:f>
        <x:v>2.200000000000001</x:v>
      </x:c>
      <x:c r="J32" s="26" t="str">
        <x:f>IF(H32&gt;1,"超载","范围内")</x:f>
        <x:v>范围内</x:v>
      </x:c>
    </x:row>
    <x:row r="33" ht="27" customHeight="1">
      <x:c r="A33" s="23" t="str">
        <x:v>S4</x:v>
      </x:c>
      <x:c r="B33" s="23" t="str">
        <x:v>QA</x:v>
      </x:c>
      <x:c r="C33" s="23" t="n">
        <x:f>VLOOKUP(B33,'项目总览'!$A$16:$C$21,3,FALSE)</x:f>
        <x:v>1</x:v>
      </x:c>
      <x:c r="D33" s="23" t="n">
        <x:f>VLOOKUP(A33,'阶段甘特'!$A$6:$E$11,5,FALSE)</x:f>
        <x:v>4</x:v>
      </x:c>
      <x:c r="E33" s="37" t="n">
        <x:f>SUMIFS('WBS'!$H$6:$H$505,'WBS'!$B$6:$B$505,A33,'WBS'!$D$6:$D$505,B33)</x:f>
        <x:v>10</x:v>
      </x:c>
      <x:c r="F33" s="37" t="n">
        <x:f>E33*(1+'项目总览'!$E$8)</x:f>
        <x:v>11.5</x:v>
      </x:c>
      <x:c r="G33" s="37" t="n">
        <x:f>C33*D33*'项目总览'!$E$6*'项目总览'!$E$7</x:f>
        <x:v>16</x:v>
      </x:c>
      <x:c r="H33" s="99" t="n">
        <x:f>IFERROR(F33/G33,0)</x:f>
        <x:v>0.71875</x:v>
      </x:c>
      <x:c r="I33" s="37" t="n">
        <x:f>G33-F33</x:f>
        <x:v>4.5</x:v>
      </x:c>
      <x:c r="J33" s="23" t="str">
        <x:f>IF(H33&gt;1,"超载","范围内")</x:f>
        <x:v>范围内</x:v>
      </x:c>
    </x:row>
    <x:row r="34" ht="27" customHeight="1">
      <x:c r="A34" s="26" t="str">
        <x:v>S4</x:v>
      </x:c>
      <x:c r="B34" s="26" t="str">
        <x:v>SRE</x:v>
      </x:c>
      <x:c r="C34" s="26" t="n">
        <x:f>VLOOKUP(B34,'项目总览'!$A$16:$C$21,3,FALSE)</x:f>
        <x:v>0.5</x:v>
      </x:c>
      <x:c r="D34" s="26" t="n">
        <x:f>VLOOKUP(A34,'阶段甘特'!$A$6:$E$11,5,FALSE)</x:f>
        <x:v>4</x:v>
      </x:c>
      <x:c r="E34" s="36" t="n">
        <x:f>SUMIFS('WBS'!$H$6:$H$505,'WBS'!$B$6:$B$505,A34,'WBS'!$D$6:$D$505,B34)</x:f>
        <x:v>5</x:v>
      </x:c>
      <x:c r="F34" s="36" t="n">
        <x:f>E34*(1+'项目总览'!$E$8)</x:f>
        <x:v>5.75</x:v>
      </x:c>
      <x:c r="G34" s="36" t="n">
        <x:f>C34*D34*'项目总览'!$E$6*'项目总览'!$E$7</x:f>
        <x:v>8</x:v>
      </x:c>
      <x:c r="H34" s="98" t="n">
        <x:f>IFERROR(F34/G34,0)</x:f>
        <x:v>0.71875</x:v>
      </x:c>
      <x:c r="I34" s="36" t="n">
        <x:f>G34-F34</x:f>
        <x:v>2.25</x:v>
      </x:c>
      <x:c r="J34" s="26" t="str">
        <x:f>IF(H34&gt;1,"超载","范围内")</x:f>
        <x:v>范围内</x:v>
      </x:c>
    </x:row>
    <x:row r="35" ht="27" customHeight="1">
      <x:c r="A35" s="23" t="str">
        <x:v>S4</x:v>
      </x:c>
      <x:c r="B35" s="23" t="str">
        <x:v>PM</x:v>
      </x:c>
      <x:c r="C35" s="23" t="n">
        <x:f>VLOOKUP(B35,'项目总览'!$A$16:$C$21,3,FALSE)</x:f>
        <x:v>0.5</x:v>
      </x:c>
      <x:c r="D35" s="23" t="n">
        <x:f>VLOOKUP(A35,'阶段甘特'!$A$6:$E$11,5,FALSE)</x:f>
        <x:v>4</x:v>
      </x:c>
      <x:c r="E35" s="37" t="n">
        <x:f>SUMIFS('WBS'!$H$6:$H$505,'WBS'!$B$6:$B$505,A35,'WBS'!$D$6:$D$505,B35)</x:f>
        <x:v>3</x:v>
      </x:c>
      <x:c r="F35" s="37" t="n">
        <x:f>E35*(1+'项目总览'!$E$8)</x:f>
        <x:v>3.4499999999999997</x:v>
      </x:c>
      <x:c r="G35" s="37" t="n">
        <x:f>C35*D35*'项目总览'!$E$6*'项目总览'!$E$7</x:f>
        <x:v>8</x:v>
      </x:c>
      <x:c r="H35" s="99" t="n">
        <x:f>IFERROR(F35/G35,0)</x:f>
        <x:v>0.43124999999999997</x:v>
      </x:c>
      <x:c r="I35" s="37" t="n">
        <x:f>G35-F35</x:f>
        <x:v>4.550000000000001</x:v>
      </x:c>
      <x:c r="J35" s="23" t="str">
        <x:f>IF(H35&gt;1,"超载","范围内")</x:f>
        <x:v>范围内</x:v>
      </x:c>
    </x:row>
    <x:row r="36" ht="27" customHeight="1">
      <x:c r="A36" s="26" t="str">
        <x:v>S5</x:v>
      </x:c>
      <x:c r="B36" s="26" t="str">
        <x:v>BE-A</x:v>
      </x:c>
      <x:c r="C36" s="26" t="n">
        <x:f>VLOOKUP(B36,'项目总览'!$A$16:$C$21,3,FALSE)</x:f>
        <x:v>1</x:v>
      </x:c>
      <x:c r="D36" s="26" t="n">
        <x:f>VLOOKUP(A36,'阶段甘特'!$A$6:$E$11,5,FALSE)</x:f>
        <x:v>3</x:v>
      </x:c>
      <x:c r="E36" s="36" t="n">
        <x:f>SUMIFS('WBS'!$H$6:$H$505,'WBS'!$B$6:$B$505,A36,'WBS'!$D$6:$D$505,B36)</x:f>
        <x:v>7</x:v>
      </x:c>
      <x:c r="F36" s="36" t="n">
        <x:f>E36*(1+'项目总览'!$E$8)</x:f>
        <x:v>8.049999999999999</x:v>
      </x:c>
      <x:c r="G36" s="36" t="n">
        <x:f>C36*D36*'项目总览'!$E$6*'项目总览'!$E$7</x:f>
        <x:v>12</x:v>
      </x:c>
      <x:c r="H36" s="98" t="n">
        <x:f>IFERROR(F36/G36,0)</x:f>
        <x:v>0.6708333333333333</x:v>
      </x:c>
      <x:c r="I36" s="36" t="n">
        <x:f>G36-F36</x:f>
        <x:v>3.950000000000001</x:v>
      </x:c>
      <x:c r="J36" s="26" t="str">
        <x:f>IF(H36&gt;1,"超载","范围内")</x:f>
        <x:v>范围内</x:v>
      </x:c>
    </x:row>
    <x:row r="37" ht="27" customHeight="1">
      <x:c r="A37" s="23" t="str">
        <x:v>S5</x:v>
      </x:c>
      <x:c r="B37" s="23" t="str">
        <x:v>BE-B</x:v>
      </x:c>
      <x:c r="C37" s="23" t="n">
        <x:f>VLOOKUP(B37,'项目总览'!$A$16:$C$21,3,FALSE)</x:f>
        <x:v>1</x:v>
      </x:c>
      <x:c r="D37" s="23" t="n">
        <x:f>VLOOKUP(A37,'阶段甘特'!$A$6:$E$11,5,FALSE)</x:f>
        <x:v>3</x:v>
      </x:c>
      <x:c r="E37" s="37" t="n">
        <x:f>SUMIFS('WBS'!$H$6:$H$505,'WBS'!$B$6:$B$505,A37,'WBS'!$D$6:$D$505,B37)</x:f>
        <x:v>7</x:v>
      </x:c>
      <x:c r="F37" s="37" t="n">
        <x:f>E37*(1+'项目总览'!$E$8)</x:f>
        <x:v>8.049999999999999</x:v>
      </x:c>
      <x:c r="G37" s="37" t="n">
        <x:f>C37*D37*'项目总览'!$E$6*'项目总览'!$E$7</x:f>
        <x:v>12</x:v>
      </x:c>
      <x:c r="H37" s="99" t="n">
        <x:f>IFERROR(F37/G37,0)</x:f>
        <x:v>0.6708333333333333</x:v>
      </x:c>
      <x:c r="I37" s="37" t="n">
        <x:f>G37-F37</x:f>
        <x:v>3.950000000000001</x:v>
      </x:c>
      <x:c r="J37" s="23" t="str">
        <x:f>IF(H37&gt;1,"超载","范围内")</x:f>
        <x:v>范围内</x:v>
      </x:c>
    </x:row>
    <x:row r="38" ht="27" customHeight="1">
      <x:c r="A38" s="26" t="str">
        <x:v>S5</x:v>
      </x:c>
      <x:c r="B38" s="26" t="str">
        <x:v>FE</x:v>
      </x:c>
      <x:c r="C38" s="26" t="n">
        <x:f>VLOOKUP(B38,'项目总览'!$A$16:$C$21,3,FALSE)</x:f>
        <x:v>1</x:v>
      </x:c>
      <x:c r="D38" s="26" t="n">
        <x:f>VLOOKUP(A38,'阶段甘特'!$A$6:$E$11,5,FALSE)</x:f>
        <x:v>3</x:v>
      </x:c>
      <x:c r="E38" s="36" t="n">
        <x:f>SUMIFS('WBS'!$H$6:$H$505,'WBS'!$B$6:$B$505,A38,'WBS'!$D$6:$D$505,B38)</x:f>
        <x:v>7</x:v>
      </x:c>
      <x:c r="F38" s="36" t="n">
        <x:f>E38*(1+'项目总览'!$E$8)</x:f>
        <x:v>8.049999999999999</x:v>
      </x:c>
      <x:c r="G38" s="36" t="n">
        <x:f>C38*D38*'项目总览'!$E$6*'项目总览'!$E$7</x:f>
        <x:v>12</x:v>
      </x:c>
      <x:c r="H38" s="98" t="n">
        <x:f>IFERROR(F38/G38,0)</x:f>
        <x:v>0.6708333333333333</x:v>
      </x:c>
      <x:c r="I38" s="36" t="n">
        <x:f>G38-F38</x:f>
        <x:v>3.950000000000001</x:v>
      </x:c>
      <x:c r="J38" s="26" t="str">
        <x:f>IF(H38&gt;1,"超载","范围内")</x:f>
        <x:v>范围内</x:v>
      </x:c>
    </x:row>
    <x:row r="39" ht="27" customHeight="1">
      <x:c r="A39" s="23" t="str">
        <x:v>S5</x:v>
      </x:c>
      <x:c r="B39" s="23" t="str">
        <x:v>QA</x:v>
      </x:c>
      <x:c r="C39" s="23" t="n">
        <x:f>VLOOKUP(B39,'项目总览'!$A$16:$C$21,3,FALSE)</x:f>
        <x:v>1</x:v>
      </x:c>
      <x:c r="D39" s="23" t="n">
        <x:f>VLOOKUP(A39,'阶段甘特'!$A$6:$E$11,5,FALSE)</x:f>
        <x:v>3</x:v>
      </x:c>
      <x:c r="E39" s="37" t="n">
        <x:f>SUMIFS('WBS'!$H$6:$H$505,'WBS'!$B$6:$B$505,A39,'WBS'!$D$6:$D$505,B39)</x:f>
        <x:v>10</x:v>
      </x:c>
      <x:c r="F39" s="37" t="n">
        <x:f>E39*(1+'项目总览'!$E$8)</x:f>
        <x:v>11.5</x:v>
      </x:c>
      <x:c r="G39" s="37" t="n">
        <x:f>C39*D39*'项目总览'!$E$6*'项目总览'!$E$7</x:f>
        <x:v>12</x:v>
      </x:c>
      <x:c r="H39" s="99" t="n">
        <x:f>IFERROR(F39/G39,0)</x:f>
        <x:v>0.9583333333333334</x:v>
      </x:c>
      <x:c r="I39" s="37" t="n">
        <x:f>G39-F39</x:f>
        <x:v>0.5</x:v>
      </x:c>
      <x:c r="J39" s="23" t="str">
        <x:f>IF(H39&gt;1,"超载","范围内")</x:f>
        <x:v>范围内</x:v>
      </x:c>
    </x:row>
    <x:row r="40" ht="27" customHeight="1">
      <x:c r="A40" s="26" t="str">
        <x:v>S5</x:v>
      </x:c>
      <x:c r="B40" s="26" t="str">
        <x:v>SRE</x:v>
      </x:c>
      <x:c r="C40" s="26" t="n">
        <x:f>VLOOKUP(B40,'项目总览'!$A$16:$C$21,3,FALSE)</x:f>
        <x:v>0.5</x:v>
      </x:c>
      <x:c r="D40" s="26" t="n">
        <x:f>VLOOKUP(A40,'阶段甘特'!$A$6:$E$11,5,FALSE)</x:f>
        <x:v>3</x:v>
      </x:c>
      <x:c r="E40" s="36" t="n">
        <x:f>SUMIFS('WBS'!$H$6:$H$505,'WBS'!$B$6:$B$505,A40,'WBS'!$D$6:$D$505,B40)</x:f>
        <x:v>5</x:v>
      </x:c>
      <x:c r="F40" s="36" t="n">
        <x:f>E40*(1+'项目总览'!$E$8)</x:f>
        <x:v>5.75</x:v>
      </x:c>
      <x:c r="G40" s="36" t="n">
        <x:f>C40*D40*'项目总览'!$E$6*'项目总览'!$E$7</x:f>
        <x:v>6</x:v>
      </x:c>
      <x:c r="H40" s="98" t="n">
        <x:f>IFERROR(F40/G40,0)</x:f>
        <x:v>0.9583333333333334</x:v>
      </x:c>
      <x:c r="I40" s="36" t="n">
        <x:f>G40-F40</x:f>
        <x:v>0.25</x:v>
      </x:c>
      <x:c r="J40" s="26" t="str">
        <x:f>IF(H40&gt;1,"超载","范围内")</x:f>
        <x:v>范围内</x:v>
      </x:c>
    </x:row>
    <x:row r="41" ht="27" customHeight="1">
      <x:c r="A41" s="23" t="str">
        <x:v>S5</x:v>
      </x:c>
      <x:c r="B41" s="23" t="str">
        <x:v>PM</x:v>
      </x:c>
      <x:c r="C41" s="23" t="n">
        <x:f>VLOOKUP(B41,'项目总览'!$A$16:$C$21,3,FALSE)</x:f>
        <x:v>0.5</x:v>
      </x:c>
      <x:c r="D41" s="23" t="n">
        <x:f>VLOOKUP(A41,'阶段甘特'!$A$6:$E$11,5,FALSE)</x:f>
        <x:v>3</x:v>
      </x:c>
      <x:c r="E41" s="37" t="n">
        <x:f>SUMIFS('WBS'!$H$6:$H$505,'WBS'!$B$6:$B$505,A41,'WBS'!$D$6:$D$505,B41)</x:f>
        <x:v>3</x:v>
      </x:c>
      <x:c r="F41" s="37" t="n">
        <x:f>E41*(1+'项目总览'!$E$8)</x:f>
        <x:v>3.4499999999999997</x:v>
      </x:c>
      <x:c r="G41" s="37" t="n">
        <x:f>C41*D41*'项目总览'!$E$6*'项目总览'!$E$7</x:f>
        <x:v>6</x:v>
      </x:c>
      <x:c r="H41" s="99" t="n">
        <x:f>IFERROR(F41/G41,0)</x:f>
        <x:v>0.575</x:v>
      </x:c>
      <x:c r="I41" s="37" t="n">
        <x:f>G41-F41</x:f>
        <x:v>2.5500000000000003</x:v>
      </x:c>
      <x:c r="J41" s="23" t="str">
        <x:f>IF(H41&gt;1,"超载","范围内")</x:f>
        <x:v>范围内</x:v>
      </x:c>
    </x:row>
  </x:sheetData>
  <x:mergeCells>
    <x:mergeCell ref="A1:J1"/>
    <x:mergeCell ref="A2:J3"/>
  </x:mergeCells>
  <x:conditionalFormatting sqref="H6:J41">
    <x:cfRule type="expression" dxfId="4" priority="1">
      <x:formula>$H6&gt;1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e01920b829b475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62" hidden="0" customWidth="1"/>
    <x:col min="4" max="4" width="10" hidden="0" customWidth="1"/>
    <x:col min="5" max="5" width="10" hidden="0" customWidth="1"/>
    <x:col min="6" max="6" width="14" hidden="0" customWidth="1"/>
    <x:col min="7" max="7" width="24" hidden="0" customWidth="1"/>
    <x:col min="8" max="8" width="14" hidden="0" customWidth="1"/>
    <x:col min="9" max="9" width="42" hidden="0" customWidth="1"/>
  </x:cols>
  <x:sheetData>
    <x:row r="1" ht="34" customHeight="1">
      <x:c r="A1" s="5" t="str">
        <x:v>MCPX / 需求与验收追踪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10" t="str">
        <x:v>需求不是完成记录。P2 / S6 不计入 20 周首发；真实资金范围一旦启用，支付安全与对账的相关要求自动成为强制门禁。</x:v>
      </x:c>
      <x:c r="B2" s="10"/>
      <x:c r="C2" s="10"/>
      <x:c r="D2" s="10"/>
      <x:c r="E2" s="10"/>
      <x:c r="F2" s="10"/>
      <x:c r="G2" s="10"/>
      <x:c r="H2" s="10"/>
      <x:c r="I2" s="10"/>
    </x:row>
    <x:row r="3" ht="22" customHeight="1">
      <x:c r="A3" s="10"/>
      <x:c r="B3" s="10"/>
      <x:c r="C3" s="10"/>
      <x:c r="D3" s="10"/>
      <x:c r="E3" s="10"/>
      <x:c r="F3" s="10"/>
      <x:c r="G3" s="10"/>
      <x:c r="H3" s="10"/>
      <x:c r="I3" s="10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0" customHeight="1">
      <x:c r="A5" s="17" t="str">
        <x:v>需求ID</x:v>
      </x:c>
      <x:c r="B5" s="17" t="str">
        <x:v>能力</x:v>
      </x:c>
      <x:c r="C5" s="17" t="str">
        <x:v>验收描述</x:v>
      </x:c>
      <x:c r="D5" s="17" t="str">
        <x:v>优先级</x:v>
      </x:c>
      <x:c r="E5" s="17" t="str">
        <x:v>阶段</x:v>
      </x:c>
      <x:c r="F5" s="17" t="str">
        <x:v>设计章节</x:v>
      </x:c>
      <x:c r="G5" s="17" t="str">
        <x:v>测试编号</x:v>
      </x:c>
      <x:c r="H5" s="17" t="str">
        <x:v>状态</x:v>
      </x:c>
      <x:c r="I5" s="17" t="str">
        <x:v>责任人/证据</x:v>
      </x:c>
    </x:row>
    <x:row r="6" ht="60" customHeight="1">
      <x:c r="A6" s="26" t="str">
        <x:v>FR-001</x:v>
      </x:c>
      <x:c r="B6" s="26" t="str">
        <x:v>Workspace 与成员</x:v>
      </x:c>
      <x:c r="C6" s="26" t="str">
        <x:v>隔离创建、切换与成员授权；服务身份单独建模</x:v>
      </x:c>
      <x:c r="D6" s="26" t="str">
        <x:v>P0</x:v>
      </x:c>
      <x:c r="E6" s="26" t="str">
        <x:v>S1</x:v>
      </x:c>
      <x:c r="F6" s="26" t="str">
        <x:v>A10</x:v>
      </x:c>
      <x:c r="G6" s="26" t="str">
        <x:v>T01;T02</x:v>
      </x:c>
      <x:c r="H6" s="28" t="str">
        <x:v>未验收</x:v>
      </x:c>
      <x:c r="I6" s="28" t="str"/>
    </x:row>
    <x:row r="7" ht="60" customHeight="1">
      <x:c r="A7" s="23" t="str">
        <x:v>FR-002</x:v>
      </x:c>
      <x:c r="B7" s="23" t="str">
        <x:v>访问凭据</x:v>
      </x:c>
      <x:c r="C7" s="23" t="str">
        <x:v>创建、范围限制、到期、轮换、撤销；明文仅显示一次</x:v>
      </x:c>
      <x:c r="D7" s="23" t="str">
        <x:v>P0</x:v>
      </x:c>
      <x:c r="E7" s="23" t="str">
        <x:v>S1</x:v>
      </x:c>
      <x:c r="F7" s="23" t="str">
        <x:v>A10</x:v>
      </x:c>
      <x:c r="G7" s="23" t="str">
        <x:v>T03</x:v>
      </x:c>
      <x:c r="H7" s="29" t="str">
        <x:v>未验收</x:v>
      </x:c>
      <x:c r="I7" s="29" t="str"/>
    </x:row>
    <x:row r="8" ht="60" customHeight="1">
      <x:c r="A8" s="26" t="str">
        <x:v>FR-003</x:v>
      </x:c>
      <x:c r="B8" s="26" t="str">
        <x:v>能力目录</x:v>
      </x:c>
      <x:c r="C8" s="26" t="str">
        <x:v>按可见性过滤搜索，区分 Provider／Tool／Version</x:v>
      </x:c>
      <x:c r="D8" s="26" t="str">
        <x:v>P0</x:v>
      </x:c>
      <x:c r="E8" s="26" t="str">
        <x:v>S1</x:v>
      </x:c>
      <x:c r="F8" s="26" t="str">
        <x:v>A04</x:v>
      </x:c>
      <x:c r="G8" s="26" t="str">
        <x:v>T04</x:v>
      </x:c>
      <x:c r="H8" s="28" t="str">
        <x:v>未验收</x:v>
      </x:c>
      <x:c r="I8" s="28" t="str"/>
    </x:row>
    <x:row r="9" ht="60" customHeight="1">
      <x:c r="A9" s="23" t="str">
        <x:v>FR-004</x:v>
      </x:c>
      <x:c r="B9" s="23" t="str">
        <x:v>工具版本</x:v>
      </x:c>
      <x:c r="C9" s="23" t="str">
        <x:v>合同不可变、Schema 摘要、弃用及发布记录</x:v>
      </x:c>
      <x:c r="D9" s="23" t="str">
        <x:v>P0</x:v>
      </x:c>
      <x:c r="E9" s="23" t="str">
        <x:v>S2</x:v>
      </x:c>
      <x:c r="F9" s="23" t="str">
        <x:v>A04</x:v>
      </x:c>
      <x:c r="G9" s="23" t="str">
        <x:v>T05</x:v>
      </x:c>
      <x:c r="H9" s="29" t="str">
        <x:v>未验收</x:v>
      </x:c>
      <x:c r="I9" s="29" t="str"/>
    </x:row>
    <x:row r="10" ht="60" customHeight="1">
      <x:c r="A10" s="26" t="str">
        <x:v>FR-005</x:v>
      </x:c>
      <x:c r="B10" s="26" t="str">
        <x:v>HTTP 导入</x:v>
      </x:c>
      <x:c r="C10" s="26" t="str">
        <x:v>OpenAPI 支持子集生成草稿；不自动发布全部操作</x:v>
      </x:c>
      <x:c r="D10" s="26" t="str">
        <x:v>P0</x:v>
      </x:c>
      <x:c r="E10" s="26" t="str">
        <x:v>S2</x:v>
      </x:c>
      <x:c r="F10" s="26" t="str">
        <x:v>A06</x:v>
      </x:c>
      <x:c r="G10" s="26" t="str">
        <x:v>T06</x:v>
      </x:c>
      <x:c r="H10" s="28" t="str">
        <x:v>未验收</x:v>
      </x:c>
      <x:c r="I10" s="28" t="str"/>
    </x:row>
    <x:row r="11" ht="60" customHeight="1">
      <x:c r="A11" s="23" t="str">
        <x:v>FR-006</x:v>
      </x:c>
      <x:c r="B11" s="23" t="str">
        <x:v>授权连接</x:v>
      </x:c>
      <x:c r="C11" s="23" t="str">
        <x:v>BYOK 与 OAuth Connection 生命周期及使用授权</x:v>
      </x:c>
      <x:c r="D11" s="23" t="str">
        <x:v>P0</x:v>
      </x:c>
      <x:c r="E11" s="23" t="str">
        <x:v>S3</x:v>
      </x:c>
      <x:c r="F11" s="23" t="str">
        <x:v>A10</x:v>
      </x:c>
      <x:c r="G11" s="23" t="str">
        <x:v>T07;T08</x:v>
      </x:c>
      <x:c r="H11" s="29" t="str">
        <x:v>未验收</x:v>
      </x:c>
      <x:c r="I11" s="29" t="str"/>
    </x:row>
    <x:row r="12" ht="60" customHeight="1">
      <x:c r="A12" s="26" t="str">
        <x:v>FR-007</x:v>
      </x:c>
      <x:c r="B12" s="26" t="str">
        <x:v>统一 Run</x:v>
      </x:c>
      <x:c r="C12" s="26" t="str">
        <x:v>同步等待与异步查询共享持久 Run、Attempt 和事件</x:v>
      </x:c>
      <x:c r="D12" s="26" t="str">
        <x:v>P0</x:v>
      </x:c>
      <x:c r="E12" s="26" t="str">
        <x:v>S2</x:v>
      </x:c>
      <x:c r="F12" s="26" t="str">
        <x:v>A05</x:v>
      </x:c>
      <x:c r="G12" s="26" t="str">
        <x:v>T09;T10</x:v>
      </x:c>
      <x:c r="H12" s="28" t="str">
        <x:v>未验收</x:v>
      </x:c>
      <x:c r="I12" s="28" t="str"/>
    </x:row>
    <x:row r="13" ht="60" customHeight="1">
      <x:c r="A13" s="23" t="str">
        <x:v>FR-008</x:v>
      </x:c>
      <x:c r="B13" s="23" t="str">
        <x:v>安全重试</x:v>
      </x:c>
      <x:c r="C13" s="23" t="str">
        <x:v>幂等键、请求摘要、上游结果不明时禁止盲重试</x:v>
      </x:c>
      <x:c r="D13" s="23" t="str">
        <x:v>P0</x:v>
      </x:c>
      <x:c r="E13" s="23" t="str">
        <x:v>S2</x:v>
      </x:c>
      <x:c r="F13" s="23" t="str">
        <x:v>A05</x:v>
      </x:c>
      <x:c r="G13" s="23" t="str">
        <x:v>T11;T12</x:v>
      </x:c>
      <x:c r="H13" s="29" t="str">
        <x:v>未验收</x:v>
      </x:c>
      <x:c r="I13" s="29" t="str"/>
    </x:row>
    <x:row r="14" ht="60" customHeight="1">
      <x:c r="A14" s="26" t="str">
        <x:v>FR-009</x:v>
      </x:c>
      <x:c r="B14" s="26" t="str">
        <x:v>Toolset</x:v>
      </x:c>
      <x:c r="C14" s="26" t="str">
        <x:v>固定工具集、版本锁定、入口授权与环境绑定</x:v>
      </x:c>
      <x:c r="D14" s="26" t="str">
        <x:v>P0</x:v>
      </x:c>
      <x:c r="E14" s="26" t="str">
        <x:v>S3</x:v>
      </x:c>
      <x:c r="F14" s="26" t="str">
        <x:v>A07</x:v>
      </x:c>
      <x:c r="G14" s="26" t="str">
        <x:v>T13</x:v>
      </x:c>
      <x:c r="H14" s="28" t="str">
        <x:v>未验收</x:v>
      </x:c>
      <x:c r="I14" s="28" t="str"/>
    </x:row>
    <x:row r="15" ht="60" customHeight="1">
      <x:c r="A15" s="23" t="str">
        <x:v>FR-010</x:v>
      </x:c>
      <x:c r="B15" s="23" t="str">
        <x:v>动态发现</x:v>
      </x:c>
      <x:c r="C15" s="23" t="str">
        <x:v>搜索、检查、启动任务；对真实目标再次授权</x:v>
      </x:c>
      <x:c r="D15" s="23" t="str">
        <x:v>P0</x:v>
      </x:c>
      <x:c r="E15" s="23" t="str">
        <x:v>S3</x:v>
      </x:c>
      <x:c r="F15" s="23" t="str">
        <x:v>A07</x:v>
      </x:c>
      <x:c r="G15" s="23" t="str">
        <x:v>T14</x:v>
      </x:c>
      <x:c r="H15" s="29" t="str">
        <x:v>未验收</x:v>
      </x:c>
      <x:c r="I15" s="29" t="str"/>
    </x:row>
    <x:row r="16" ht="60" customHeight="1">
      <x:c r="A16" s="26" t="str">
        <x:v>FR-011</x:v>
      </x:c>
      <x:c r="B16" s="26" t="str">
        <x:v>MCP 上游</x:v>
      </x:c>
      <x:c r="C16" s="26" t="str">
        <x:v>有声明的版本／能力矩阵；不支持项明确拒绝</x:v>
      </x:c>
      <x:c r="D16" s="26" t="str">
        <x:v>P0</x:v>
      </x:c>
      <x:c r="E16" s="26" t="str">
        <x:v>S3</x:v>
      </x:c>
      <x:c r="F16" s="26" t="str">
        <x:v>A07</x:v>
      </x:c>
      <x:c r="G16" s="26" t="str">
        <x:v>T15;T16</x:v>
      </x:c>
      <x:c r="H16" s="28" t="str">
        <x:v>未验收</x:v>
      </x:c>
      <x:c r="I16" s="28" t="str"/>
    </x:row>
    <x:row r="17" ht="60" customHeight="1">
      <x:c r="A17" s="23" t="str">
        <x:v>FR-012</x:v>
      </x:c>
      <x:c r="B17" s="23" t="str">
        <x:v>远程 Agent</x:v>
      </x:c>
      <x:c r="C17" s="23" t="str">
        <x:v>提交、轮询、取消、产物；不默认托管任意 Agent 代码</x:v>
      </x:c>
      <x:c r="D17" s="23" t="str">
        <x:v>P0</x:v>
      </x:c>
      <x:c r="E17" s="23" t="str">
        <x:v>S3</x:v>
      </x:c>
      <x:c r="F17" s="23" t="str">
        <x:v>A08</x:v>
      </x:c>
      <x:c r="G17" s="23" t="str">
        <x:v>T17</x:v>
      </x:c>
      <x:c r="H17" s="29" t="str">
        <x:v>未验收</x:v>
      </x:c>
      <x:c r="I17" s="29" t="str"/>
    </x:row>
    <x:row r="18" ht="60" customHeight="1">
      <x:c r="A18" s="26" t="str">
        <x:v>FR-013</x:v>
      </x:c>
      <x:c r="B18" s="26" t="str">
        <x:v>预算与预留</x:v>
      </x:c>
      <x:c r="C18" s="26" t="str">
        <x:v>单次、Key、Toolset、Workspace 多层预算原子预留</x:v>
      </x:c>
      <x:c r="D18" s="26" t="str">
        <x:v>P0</x:v>
      </x:c>
      <x:c r="E18" s="26" t="str">
        <x:v>S2</x:v>
      </x:c>
      <x:c r="F18" s="26" t="str">
        <x:v>A11</x:v>
      </x:c>
      <x:c r="G18" s="26" t="str">
        <x:v>T18;T19</x:v>
      </x:c>
      <x:c r="H18" s="28" t="str">
        <x:v>未验收</x:v>
      </x:c>
      <x:c r="I18" s="28" t="str"/>
    </x:row>
    <x:row r="19" ht="60" customHeight="1">
      <x:c r="A19" s="23" t="str">
        <x:v>FR-014</x:v>
      </x:c>
      <x:c r="B19" s="23" t="str">
        <x:v>计量与账本</x:v>
      </x:c>
      <x:c r="C19" s="23" t="str">
        <x:v>价格快照、事实计量、幂等结算与余额重建</x:v>
      </x:c>
      <x:c r="D19" s="23" t="str">
        <x:v>P0</x:v>
      </x:c>
      <x:c r="E19" s="23" t="str">
        <x:v>S2</x:v>
      </x:c>
      <x:c r="F19" s="23" t="str">
        <x:v>A11</x:v>
      </x:c>
      <x:c r="G19" s="23" t="str">
        <x:v>T20;T21</x:v>
      </x:c>
      <x:c r="H19" s="29" t="str">
        <x:v>未验收</x:v>
      </x:c>
      <x:c r="I19" s="29" t="str"/>
    </x:row>
    <x:row r="20" ht="60" customHeight="1">
      <x:c r="A20" s="26" t="str">
        <x:v>FR-015</x:v>
      </x:c>
      <x:c r="B20" s="26" t="str">
        <x:v>发布管理</x:v>
      </x:c>
      <x:c r="C20" s="26" t="str">
        <x:v>声明式插件校验、测试、审核、灰度、撤回</x:v>
      </x:c>
      <x:c r="D20" s="26" t="str">
        <x:v>P0</x:v>
      </x:c>
      <x:c r="E20" s="26" t="str">
        <x:v>S4</x:v>
      </x:c>
      <x:c r="F20" s="26" t="str">
        <x:v>A09</x:v>
      </x:c>
      <x:c r="G20" s="26" t="str">
        <x:v>T22;T23</x:v>
      </x:c>
      <x:c r="H20" s="28" t="str">
        <x:v>未验收</x:v>
      </x:c>
      <x:c r="I20" s="28" t="str"/>
    </x:row>
    <x:row r="21" ht="60" customHeight="1">
      <x:c r="A21" s="23" t="str">
        <x:v>FR-016</x:v>
      </x:c>
      <x:c r="B21" s="23" t="str">
        <x:v>审批与风控</x:v>
      </x:c>
      <x:c r="C21" s="23" t="str">
        <x:v>高风险动作绑定主体、版本、参数摘要与额度审批</x:v>
      </x:c>
      <x:c r="D21" s="23" t="str">
        <x:v>P0</x:v>
      </x:c>
      <x:c r="E21" s="23" t="str">
        <x:v>S4</x:v>
      </x:c>
      <x:c r="F21" s="23" t="str">
        <x:v>A10</x:v>
      </x:c>
      <x:c r="G21" s="23" t="str">
        <x:v>T24</x:v>
      </x:c>
      <x:c r="H21" s="29" t="str">
        <x:v>未验收</x:v>
      </x:c>
      <x:c r="I21" s="29" t="str"/>
    </x:row>
    <x:row r="22" ht="60" customHeight="1">
      <x:c r="A22" s="26" t="str">
        <x:v>FR-017</x:v>
      </x:c>
      <x:c r="B22" s="26" t="str">
        <x:v>Run Explorer</x:v>
      </x:c>
      <x:c r="C22" s="26" t="str">
        <x:v>状态、事件、脱敏结果、费用及安全重试入口</x:v>
      </x:c>
      <x:c r="D22" s="26" t="str">
        <x:v>P0</x:v>
      </x:c>
      <x:c r="E22" s="26" t="str">
        <x:v>S2</x:v>
      </x:c>
      <x:c r="F22" s="26" t="str">
        <x:v>A14</x:v>
      </x:c>
      <x:c r="G22" s="26" t="str">
        <x:v>T25</x:v>
      </x:c>
      <x:c r="H22" s="28" t="str">
        <x:v>未验收</x:v>
      </x:c>
      <x:c r="I22" s="28" t="str"/>
    </x:row>
    <x:row r="23" ht="60" customHeight="1">
      <x:c r="A23" s="23" t="str">
        <x:v>FR-018</x:v>
      </x:c>
      <x:c r="B23" s="23" t="str">
        <x:v>平台 Admin</x:v>
      </x:c>
      <x:c r="C23" s="23" t="str">
        <x:v>供应商、工作区、审核、异常、对账及审计</x:v>
      </x:c>
      <x:c r="D23" s="23" t="str">
        <x:v>P0</x:v>
      </x:c>
      <x:c r="E23" s="23" t="str">
        <x:v>S4</x:v>
      </x:c>
      <x:c r="F23" s="23" t="str">
        <x:v>A14</x:v>
      </x:c>
      <x:c r="G23" s="23" t="str">
        <x:v>T26</x:v>
      </x:c>
      <x:c r="H23" s="29" t="str">
        <x:v>未验收</x:v>
      </x:c>
      <x:c r="I23" s="29" t="str"/>
    </x:row>
    <x:row r="24" ht="60" customHeight="1">
      <x:c r="A24" s="26" t="str">
        <x:v>FR-019</x:v>
      </x:c>
      <x:c r="B24" s="26" t="str">
        <x:v>支付与退款</x:v>
      </x:c>
      <x:c r="C24" s="26" t="str">
        <x:v>供应商确认后实现签名回调、入账、退款与对账</x:v>
      </x:c>
      <x:c r="D24" s="26" t="str">
        <x:v>P1</x:v>
      </x:c>
      <x:c r="E24" s="26" t="str">
        <x:v>S4</x:v>
      </x:c>
      <x:c r="F24" s="26" t="str">
        <x:v>A11</x:v>
      </x:c>
      <x:c r="G24" s="26" t="str">
        <x:v>T27</x:v>
      </x:c>
      <x:c r="H24" s="28" t="str">
        <x:v>未验收</x:v>
      </x:c>
      <x:c r="I24" s="28" t="str"/>
    </x:row>
    <x:row r="25" ht="60" customHeight="1">
      <x:c r="A25" s="23" t="str">
        <x:v>FR-020</x:v>
      </x:c>
      <x:c r="B25" s="23" t="str">
        <x:v>通知与 Webhook</x:v>
      </x:c>
      <x:c r="C25" s="23" t="str">
        <x:v>回调鉴别、去重、重放保护、失败重投</x:v>
      </x:c>
      <x:c r="D25" s="23" t="str">
        <x:v>P0</x:v>
      </x:c>
      <x:c r="E25" s="23" t="str">
        <x:v>S3</x:v>
      </x:c>
      <x:c r="F25" s="23" t="str">
        <x:v>A12</x:v>
      </x:c>
      <x:c r="G25" s="23" t="str">
        <x:v>T28</x:v>
      </x:c>
      <x:c r="H25" s="29" t="str">
        <x:v>未验收</x:v>
      </x:c>
      <x:c r="I25" s="29" t="str"/>
    </x:row>
    <x:row r="26" ht="60" customHeight="1">
      <x:c r="A26" s="26" t="str">
        <x:v>FR-021</x:v>
      </x:c>
      <x:c r="B26" s="26" t="str">
        <x:v>CLI／Skill</x:v>
      </x:c>
      <x:c r="C26" s="26" t="str">
        <x:v>由同一 API 提供发现与调用，不复制安全逻辑</x:v>
      </x:c>
      <x:c r="D26" s="26" t="str">
        <x:v>P1</x:v>
      </x:c>
      <x:c r="E26" s="26" t="str">
        <x:v>S4</x:v>
      </x:c>
      <x:c r="F26" s="26" t="str">
        <x:v>A07</x:v>
      </x:c>
      <x:c r="G26" s="26" t="str">
        <x:v>T29</x:v>
      </x:c>
      <x:c r="H26" s="28" t="str">
        <x:v>未验收</x:v>
      </x:c>
      <x:c r="I26" s="28" t="str"/>
    </x:row>
    <x:row r="27" ht="60" customHeight="1">
      <x:c r="A27" s="23" t="str">
        <x:v>FR-022</x:v>
      </x:c>
      <x:c r="B27" s="23" t="str">
        <x:v>资源与产物</x:v>
      </x:c>
      <x:c r="C27" s="23" t="str">
        <x:v>对象级授权、短时 URL、大结果存储与过期</x:v>
      </x:c>
      <x:c r="D27" s="23" t="str">
        <x:v>P0</x:v>
      </x:c>
      <x:c r="E27" s="23" t="str">
        <x:v>S3</x:v>
      </x:c>
      <x:c r="F27" s="23" t="str">
        <x:v>A13</x:v>
      </x:c>
      <x:c r="G27" s="23" t="str">
        <x:v>T30</x:v>
      </x:c>
      <x:c r="H27" s="29" t="str">
        <x:v>未验收</x:v>
      </x:c>
      <x:c r="I27" s="29" t="str"/>
    </x:row>
    <x:row r="28" ht="60" customHeight="1">
      <x:c r="A28" s="26" t="str">
        <x:v>FR-023</x:v>
      </x:c>
      <x:c r="B28" s="26" t="str">
        <x:v>发布者工作台</x:v>
      </x:c>
      <x:c r="C28" s="26" t="str">
        <x:v>自助草稿、版本、测试及质量视图；初期邀请制</x:v>
      </x:c>
      <x:c r="D28" s="26" t="str">
        <x:v>P1</x:v>
      </x:c>
      <x:c r="E28" s="26" t="str">
        <x:v>S4</x:v>
      </x:c>
      <x:c r="F28" s="26" t="str">
        <x:v>A14</x:v>
      </x:c>
      <x:c r="G28" s="26" t="str">
        <x:v>T31</x:v>
      </x:c>
      <x:c r="H28" s="28" t="str">
        <x:v>未验收</x:v>
      </x:c>
      <x:c r="I28" s="28" t="str"/>
    </x:row>
    <x:row r="29" ht="60" customHeight="1">
      <x:c r="A29" s="23" t="str">
        <x:v>FR-024</x:v>
      </x:c>
      <x:c r="B29" s="23" t="str">
        <x:v>隔离运行时</x:v>
      </x:c>
      <x:c r="C29" s="23" t="str">
        <x:v>经准入后支持进程／容器／WASM，不计入首发承诺</x:v>
      </x:c>
      <x:c r="D29" s="23" t="str">
        <x:v>P2</x:v>
      </x:c>
      <x:c r="E29" s="23" t="str">
        <x:v>S6</x:v>
      </x:c>
      <x:c r="F29" s="23" t="str">
        <x:v>A09</x:v>
      </x:c>
      <x:c r="G29" s="23" t="str">
        <x:v>T32</x:v>
      </x:c>
      <x:c r="H29" s="29" t="str">
        <x:v>未验收</x:v>
      </x:c>
      <x:c r="I29" s="29" t="str"/>
    </x:row>
    <x:row r="30" ht="60" customHeight="1">
      <x:c r="A30" s="26" t="str">
        <x:v>NFR-001</x:v>
      </x:c>
      <x:c r="B30" s="26" t="str">
        <x:v>租户与搜索隔离</x:v>
      </x:c>
      <x:c r="C30" s="26" t="str">
        <x:v>所有 API、缓存、队列、存储的跨租户负向测试通过</x:v>
      </x:c>
      <x:c r="D30" s="26" t="str">
        <x:v>P0</x:v>
      </x:c>
      <x:c r="E30" s="26" t="str">
        <x:v>S5</x:v>
      </x:c>
      <x:c r="F30" s="26" t="str">
        <x:v>A10</x:v>
      </x:c>
      <x:c r="G30" s="26" t="str">
        <x:v>T02;T04;T30</x:v>
      </x:c>
      <x:c r="H30" s="28" t="str">
        <x:v>未验收</x:v>
      </x:c>
      <x:c r="I30" s="28" t="str"/>
    </x:row>
    <x:row r="31" ht="60" customHeight="1">
      <x:c r="A31" s="23" t="str">
        <x:v>NFR-002</x:v>
      </x:c>
      <x:c r="B31" s="23" t="str">
        <x:v>凭据与出口安全</x:v>
      </x:c>
      <x:c r="C31" s="23" t="str">
        <x:v>令牌不透传、日志无秘密、SSRF 与越权测试通过</x:v>
      </x:c>
      <x:c r="D31" s="23" t="str">
        <x:v>P0</x:v>
      </x:c>
      <x:c r="E31" s="23" t="str">
        <x:v>S5</x:v>
      </x:c>
      <x:c r="F31" s="23" t="str">
        <x:v>A10</x:v>
      </x:c>
      <x:c r="G31" s="23" t="str">
        <x:v>T08;T33</x:v>
      </x:c>
      <x:c r="H31" s="29" t="str">
        <x:v>未验收</x:v>
      </x:c>
      <x:c r="I31" s="29" t="str"/>
    </x:row>
    <x:row r="32" ht="60" customHeight="1">
      <x:c r="A32" s="26" t="str">
        <x:v>NFR-003</x:v>
      </x:c>
      <x:c r="B32" s="26" t="str">
        <x:v>一致性与恢复</x:v>
      </x:c>
      <x:c r="C32" s="26" t="str">
        <x:v>重复投递、进程崩溃、延迟回调不重复扣费</x:v>
      </x:c>
      <x:c r="D32" s="26" t="str">
        <x:v>P0</x:v>
      </x:c>
      <x:c r="E32" s="26" t="str">
        <x:v>S5</x:v>
      </x:c>
      <x:c r="F32" s="26" t="str">
        <x:v>A05</x:v>
      </x:c>
      <x:c r="G32" s="26" t="str">
        <x:v>T10;T11;T20</x:v>
      </x:c>
      <x:c r="H32" s="28" t="str">
        <x:v>未验收</x:v>
      </x:c>
      <x:c r="I32" s="28" t="str"/>
    </x:row>
    <x:row r="33" ht="60" customHeight="1">
      <x:c r="A33" s="23" t="str">
        <x:v>NFR-004</x:v>
      </x:c>
      <x:c r="B33" s="23" t="str">
        <x:v>性能目标</x:v>
      </x:c>
      <x:c r="C33" s="23" t="str">
        <x:v>按约定 mock 负载验证受理与网关附加延迟</x:v>
      </x:c>
      <x:c r="D33" s="23" t="str">
        <x:v>P0</x:v>
      </x:c>
      <x:c r="E33" s="23" t="str">
        <x:v>S5</x:v>
      </x:c>
      <x:c r="F33" s="23" t="str">
        <x:v>A16</x:v>
      </x:c>
      <x:c r="G33" s="23" t="str">
        <x:v>T34</x:v>
      </x:c>
      <x:c r="H33" s="29" t="str">
        <x:v>未验收</x:v>
      </x:c>
      <x:c r="I33" s="29" t="str"/>
    </x:row>
    <x:row r="34" ht="60" customHeight="1">
      <x:c r="A34" s="26" t="str">
        <x:v>NFR-005</x:v>
      </x:c>
      <x:c r="B34" s="26" t="str">
        <x:v>灾备目标</x:v>
      </x:c>
      <x:c r="C34" s="26" t="str">
        <x:v>候选 RPO≤5 分钟、RTO≤60 分钟，须实测确认</x:v>
      </x:c>
      <x:c r="D34" s="26" t="str">
        <x:v>P0</x:v>
      </x:c>
      <x:c r="E34" s="26" t="str">
        <x:v>S5</x:v>
      </x:c>
      <x:c r="F34" s="26" t="str">
        <x:v>A15</x:v>
      </x:c>
      <x:c r="G34" s="26" t="str">
        <x:v>T35</x:v>
      </x:c>
      <x:c r="H34" s="28" t="str">
        <x:v>未验收</x:v>
      </x:c>
      <x:c r="I34" s="28" t="str"/>
    </x:row>
    <x:row r="35" ht="60" customHeight="1">
      <x:c r="A35" s="23" t="str">
        <x:v>NFR-006</x:v>
      </x:c>
      <x:c r="B35" s="23" t="str">
        <x:v>可观测与审计</x:v>
      </x:c>
      <x:c r="C35" s="23" t="str">
        <x:v>Run／Attempt／Trace 关联，资金事实不依赖普通日志</x:v>
      </x:c>
      <x:c r="D35" s="23" t="str">
        <x:v>P0</x:v>
      </x:c>
      <x:c r="E35" s="23" t="str">
        <x:v>S5</x:v>
      </x:c>
      <x:c r="F35" s="23" t="str">
        <x:v>A15</x:v>
      </x:c>
      <x:c r="G35" s="23" t="str">
        <x:v>T36</x:v>
      </x:c>
      <x:c r="H35" s="29" t="str">
        <x:v>未验收</x:v>
      </x:c>
      <x:c r="I35" s="29" t="str"/>
    </x:row>
    <x:row r="36" ht="60" customHeight="1">
      <x:c r="A36" s="26" t="str">
        <x:v>NFR-007</x:v>
      </x:c>
      <x:c r="B36" s="26" t="str">
        <x:v>可访问性</x:v>
      </x:c>
      <x:c r="C36" s="26" t="str">
        <x:v>关键操作键盘可达、错误可读、弹层聚焦正确</x:v>
      </x:c>
      <x:c r="D36" s="26" t="str">
        <x:v>P0</x:v>
      </x:c>
      <x:c r="E36" s="26" t="str">
        <x:v>S5</x:v>
      </x:c>
      <x:c r="F36" s="26" t="str">
        <x:v>A14</x:v>
      </x:c>
      <x:c r="G36" s="26" t="str">
        <x:v>T37</x:v>
      </x:c>
      <x:c r="H36" s="28" t="str">
        <x:v>未验收</x:v>
      </x:c>
      <x:c r="I36" s="28" t="str"/>
    </x:row>
    <x:row r="37" ht="60" customHeight="1">
      <x:c r="A37" s="23" t="str">
        <x:v>NFR-008</x:v>
      </x:c>
      <x:c r="B37" s="23" t="str">
        <x:v>版本与回滚</x:v>
      </x:c>
      <x:c r="C37" s="23" t="str">
        <x:v>旧 Run 固定版本；数据库兼容滚动升级与回退</x:v>
      </x:c>
      <x:c r="D37" s="23" t="str">
        <x:v>P0</x:v>
      </x:c>
      <x:c r="E37" s="23" t="str">
        <x:v>S5</x:v>
      </x:c>
      <x:c r="F37" s="23" t="str">
        <x:v>A17</x:v>
      </x:c>
      <x:c r="G37" s="23" t="str">
        <x:v>T23;T38</x:v>
      </x:c>
      <x:c r="H37" s="29" t="str">
        <x:v>未验收</x:v>
      </x:c>
      <x:c r="I37" s="29" t="str"/>
    </x:row>
    <x:row r="38" ht="60" customHeight="1">
      <x:c r="A38" s="26" t="str">
        <x:v>NFR-009</x:v>
      </x:c>
      <x:c r="B38" s="26" t="str">
        <x:v>安全上线</x:v>
      </x:c>
      <x:c r="C38" s="26" t="str">
        <x:v>高危缺陷清零、账本差异清零、回滚与停机开关演练</x:v>
      </x:c>
      <x:c r="D38" s="26" t="str">
        <x:v>P0</x:v>
      </x:c>
      <x:c r="E38" s="26" t="str">
        <x:v>S5</x:v>
      </x:c>
      <x:c r="F38" s="26" t="str">
        <x:v>A16</x:v>
      </x:c>
      <x:c r="G38" s="26" t="str">
        <x:v>T39</x:v>
      </x:c>
      <x:c r="H38" s="28" t="str">
        <x:v>未验收</x:v>
      </x:c>
      <x:c r="I38" s="28" t="str"/>
    </x:row>
    <x:row r="39" ht="60" customHeight="1">
      <x:c r="A39" s="23" t="str">
        <x:v>NFR-010</x:v>
      </x:c>
      <x:c r="B39" s="23" t="str">
        <x:v>协议取消边界</x:v>
      </x:c>
      <x:c r="C39" s="23" t="str">
        <x:v>MCP 同步请求取消与显式异步 Run 生命周期正确区分</x:v>
      </x:c>
      <x:c r="D39" s="23" t="str">
        <x:v>P0</x:v>
      </x:c>
      <x:c r="E39" s="23" t="str">
        <x:v>S3</x:v>
      </x:c>
      <x:c r="F39" s="23" t="str">
        <x:v>A07</x:v>
      </x:c>
      <x:c r="G39" s="23" t="str">
        <x:v>T40</x:v>
      </x:c>
      <x:c r="H39" s="29" t="str">
        <x:v>未验收</x:v>
      </x:c>
      <x:c r="I39" s="29" t="str"/>
    </x:row>
    <x:row r="40" ht="68" customHeight="1">
      <x:c r="A40" s="107" t="str">
        <x:v>NFR-011</x:v>
      </x:c>
      <x:c r="B40" s="107" t="str">
        <x:v>pnpm 工程一致性</x:v>
      </x:c>
      <x:c r="C40" s="107" t="str">
        <x:v>唯一前端包管理器；单一工作区锁；固定工具链；CI 冻结安装</x:v>
      </x:c>
      <x:c r="D40" s="107" t="str">
        <x:v>P0</x:v>
      </x:c>
      <x:c r="E40" s="107" t="str">
        <x:v>S1</x:v>
      </x:c>
      <x:c r="F40" s="107" t="str">
        <x:v>A14;G06</x:v>
      </x:c>
      <x:c r="G40" s="107" t="str">
        <x:v>T41</x:v>
      </x:c>
      <x:c r="H40" s="107" t="str">
        <x:v>未验收</x:v>
      </x:c>
      <x:c r="I40" s="107"/>
    </x:row>
    <x:row r="41" ht="68" customHeight="1">
      <x:c r="A41" s="107" t="str">
        <x:v>NFR-012</x:v>
      </x:c>
      <x:c r="B41" s="107" t="str">
        <x:v>DDD 所有权</x:v>
      </x:c>
      <x:c r="C41" s="107" t="str">
        <x:v>上下文、聚合、不变量及表／事件归属明确；禁止跨域深导入与写表</x:v>
      </x:c>
      <x:c r="D41" s="107" t="str">
        <x:v>P0</x:v>
      </x:c>
      <x:c r="E41" s="107" t="str">
        <x:v>S1</x:v>
      </x:c>
      <x:c r="F41" s="107" t="str">
        <x:v>A03;G01;G02;G03</x:v>
      </x:c>
      <x:c r="G41" s="107" t="str">
        <x:v>T43;T45</x:v>
      </x:c>
      <x:c r="H41" s="107" t="str">
        <x:v>未验收</x:v>
      </x:c>
      <x:c r="I41" s="107"/>
    </x:row>
    <x:row r="42" ht="68" customHeight="1">
      <x:c r="A42" s="107" t="str">
        <x:v>NFR-013</x:v>
      </x:c>
      <x:c r="B42" s="107" t="str">
        <x:v>清洁架构与依赖倒置</x:v>
      </x:c>
      <x:c r="C42" s="107" t="str">
        <x:v>领域／用例不依赖框架和具体适配器；消费方端口与显式装配</x:v>
      </x:c>
      <x:c r="D42" s="107" t="str">
        <x:v>P0</x:v>
      </x:c>
      <x:c r="E42" s="107" t="str">
        <x:v>S1</x:v>
      </x:c>
      <x:c r="F42" s="107" t="str">
        <x:v>A03;G04</x:v>
      </x:c>
      <x:c r="G42" s="107" t="str">
        <x:v>T42;T46</x:v>
      </x:c>
      <x:c r="H42" s="107" t="str">
        <x:v>未验收</x:v>
      </x:c>
      <x:c r="I42" s="107"/>
    </x:row>
    <x:row r="43" ht="68" customHeight="1">
      <x:c r="A43" s="107" t="str">
        <x:v>NFR-014</x:v>
      </x:c>
      <x:c r="B43" s="107" t="str">
        <x:v>前端领域边界</x:v>
      </x:c>
      <x:c r="C43" s="107" t="str">
        <x:v>纯业务规则不依赖 React、路由、Query、HTTP 或生成 DTO；跨模块仅公开入口</x:v>
      </x:c>
      <x:c r="D43" s="107" t="str">
        <x:v>P0</x:v>
      </x:c>
      <x:c r="E43" s="107" t="str">
        <x:v>S1</x:v>
      </x:c>
      <x:c r="F43" s="107" t="str">
        <x:v>A14;G06</x:v>
      </x:c>
      <x:c r="G43" s="107" t="str">
        <x:v>T44;T46</x:v>
      </x:c>
      <x:c r="H43" s="107" t="str">
        <x:v>未验收</x:v>
      </x:c>
      <x:c r="I43" s="107"/>
    </x:row>
    <x:row r="44" ht="68" customHeight="1">
      <x:c r="A44" s="107" t="str">
        <x:v>NFR-015</x:v>
      </x:c>
      <x:c r="B44" s="107" t="str">
        <x:v>受控一致性例外</x:v>
      </x:c>
      <x:c r="C44" s="107" t="str">
        <x:v>Run／预留／任务同库原子受理由专用协调端口完成，不泄露 SQL 事务到内层</x:v>
      </x:c>
      <x:c r="D44" s="107" t="str">
        <x:v>P0</x:v>
      </x:c>
      <x:c r="E44" s="107" t="str">
        <x:v>S2</x:v>
      </x:c>
      <x:c r="F44" s="107" t="str">
        <x:v>A05;G05</x:v>
      </x:c>
      <x:c r="G44" s="107" t="str">
        <x:v>T47;T48</x:v>
      </x:c>
      <x:c r="H44" s="107" t="str">
        <x:v>未验收</x:v>
      </x:c>
      <x:c r="I44" s="107"/>
    </x:row>
    <x:row r="45" ht="68" customHeight="1">
      <x:c r="A45" s="107" t="str">
        <x:v>NFR-016</x:v>
      </x:c>
      <x:c r="B45" s="107" t="str">
        <x:v>架构持续验收</x:v>
      </x:c>
      <x:c r="C45" s="107" t="str">
        <x:v>架构规则为阻断式 CI；负向 fixture、例外到期与 PR 责任人均可追踪</x:v>
      </x:c>
      <x:c r="D45" s="107" t="str">
        <x:v>P0</x:v>
      </x:c>
      <x:c r="E45" s="107" t="str">
        <x:v>S5</x:v>
      </x:c>
      <x:c r="F45" s="107" t="str">
        <x:v>A16;G07;G08</x:v>
      </x:c>
      <x:c r="G45" s="107" t="str">
        <x:v>T41;T42;T43;T44;T48</x:v>
      </x:c>
      <x:c r="H45" s="107" t="str">
        <x:v>未验收</x:v>
      </x:c>
      <x:c r="I45" s="107"/>
    </x:row>
  </x:sheetData>
  <x:mergeCells>
    <x:mergeCell ref="A1:I1"/>
    <x:mergeCell ref="A2:I3"/>
  </x:mergeCells>
  <x:dataValidations count="1">
    <x:dataValidation type="list" sqref="H6:H39">
      <x:formula1>"未验收,验证中,通过,不通过,不适用（已批准）"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26cdc6c4d3444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76" hidden="0" customWidth="1"/>
    <x:col min="4" max="4" width="20" hidden="0" customWidth="1"/>
    <x:col min="5" max="5" width="14" hidden="0" customWidth="1"/>
    <x:col min="6" max="6" width="28" hidden="0" customWidth="1"/>
    <x:col min="7" max="7" width="38" hidden="0" customWidth="1"/>
    <x:col min="8" max="8" width="40" hidden="0" customWidth="1"/>
  </x:cols>
  <x:sheetData>
    <x:row r="1" ht="34" customHeight="1">
      <x:c r="A1" s="5" t="str">
        <x:v>MCPX / 测试目录与证据</x:v>
      </x:c>
      <x:c r="B1" s="5"/>
      <x:c r="C1" s="5"/>
      <x:c r="D1" s="5"/>
      <x:c r="E1" s="5"/>
      <x:c r="F1" s="5"/>
      <x:c r="G1" s="5"/>
      <x:c r="H1" s="5"/>
    </x:row>
    <x:row r="2" ht="22" customHeight="1">
      <x:c r="A2" s="10" t="str">
        <x:v>这里是待执行的验收用例目录，不是测试结果。运行环境、版本、命令、样本与报告应一并归档；T32 仅用于 S6 运行时扩展。</x:v>
      </x:c>
      <x:c r="B2" s="10"/>
      <x:c r="C2" s="10"/>
      <x:c r="D2" s="10"/>
      <x:c r="E2" s="10"/>
      <x:c r="F2" s="10"/>
      <x:c r="G2" s="10"/>
      <x:c r="H2" s="10"/>
    </x:row>
    <x:row r="3" ht="22" customHeight="1">
      <x:c r="A3" s="10"/>
      <x:c r="B3" s="10"/>
      <x:c r="C3" s="10"/>
      <x:c r="D3" s="10"/>
      <x:c r="E3" s="10"/>
      <x:c r="F3" s="10"/>
      <x:c r="G3" s="10"/>
      <x:c r="H3" s="10"/>
    </x:row>
    <x:row r="4">
      <x:c r="A4" s="2"/>
      <x:c r="B4" s="2"/>
      <x:c r="C4" s="2"/>
      <x:c r="D4" s="2"/>
      <x:c r="E4" s="2"/>
      <x:c r="F4" s="2"/>
      <x:c r="G4" s="2"/>
      <x:c r="H4" s="2"/>
    </x:row>
    <x:row r="5" ht="30" customHeight="1">
      <x:c r="A5" s="17" t="str">
        <x:v>测试ID</x:v>
      </x:c>
      <x:c r="B5" s="17" t="str">
        <x:v>主题</x:v>
      </x:c>
      <x:c r="C5" s="17" t="str">
        <x:v>可验证预期</x:v>
      </x:c>
      <x:c r="D5" s="17" t="str">
        <x:v>测试类型</x:v>
      </x:c>
      <x:c r="E5" s="17" t="str">
        <x:v>结果</x:v>
      </x:c>
      <x:c r="F5" s="17" t="str">
        <x:v>执行版本/环境</x:v>
      </x:c>
      <x:c r="G5" s="17" t="str">
        <x:v>证据地址</x:v>
      </x:c>
      <x:c r="H5" s="17" t="str">
        <x:v>问题/备注</x:v>
      </x:c>
    </x:row>
    <x:row r="6" ht="60" customHeight="1">
      <x:c r="A6" s="26" t="str">
        <x:v>T01</x:v>
      </x:c>
      <x:c r="B6" s="26" t="str">
        <x:v>身份与权限</x:v>
      </x:c>
      <x:c r="C6" s="26" t="str">
        <x:v>成员、服务身份、平台角色分别授权；客户端 workspace 字段不能越权</x:v>
      </x:c>
      <x:c r="D6" s="26" t="str">
        <x:v>集成／E2E</x:v>
      </x:c>
      <x:c r="E6" s="28" t="str">
        <x:v>未执行</x:v>
      </x:c>
      <x:c r="F6" s="28" t="str"/>
      <x:c r="G6" s="28" t="str"/>
      <x:c r="H6" s="28" t="str"/>
    </x:row>
    <x:row r="7" ht="60" customHeight="1">
      <x:c r="A7" s="23" t="str">
        <x:v>T02</x:v>
      </x:c>
      <x:c r="B7" s="23" t="str">
        <x:v>跨租户负向</x:v>
      </x:c>
      <x:c r="C7" s="23" t="str">
        <x:v>替换所有对象 ID、缓存键与任务主体后拒绝读取／修改，结果不泄漏存在性</x:v>
      </x:c>
      <x:c r="D7" s="23" t="str">
        <x:v>安全</x:v>
      </x:c>
      <x:c r="E7" s="29" t="str">
        <x:v>未执行</x:v>
      </x:c>
      <x:c r="F7" s="29" t="str"/>
      <x:c r="G7" s="29" t="str"/>
      <x:c r="H7" s="29" t="str"/>
    </x:row>
    <x:row r="8" ht="60" customHeight="1">
      <x:c r="A8" s="26" t="str">
        <x:v>T03</x:v>
      </x:c>
      <x:c r="B8" s="26" t="str">
        <x:v>Key 生命周期</x:v>
      </x:c>
      <x:c r="C8" s="26" t="str">
        <x:v>明文仅创建时展示；撤销后不超过约定 5 秒窗口拒绝新调用；撤销源不可用时拒绝执行</x:v>
      </x:c>
      <x:c r="D8" s="26" t="str">
        <x:v>集成</x:v>
      </x:c>
      <x:c r="E8" s="28" t="str">
        <x:v>未执行</x:v>
      </x:c>
      <x:c r="F8" s="28" t="str"/>
      <x:c r="G8" s="28" t="str"/>
      <x:c r="H8" s="28" t="str"/>
    </x:row>
    <x:row r="9" ht="60" customHeight="1">
      <x:c r="A9" s="23" t="str">
        <x:v>T04</x:v>
      </x:c>
      <x:c r="B9" s="23" t="str">
        <x:v>目录隔离</x:v>
      </x:c>
      <x:c r="C9" s="23" t="str">
        <x:v>公开、私有、未授权工具的搜索、计数、补全与缓存均按权限过滤</x:v>
      </x:c>
      <x:c r="D9" s="23" t="str">
        <x:v>集成</x:v>
      </x:c>
      <x:c r="E9" s="29" t="str">
        <x:v>未执行</x:v>
      </x:c>
      <x:c r="F9" s="29" t="str"/>
      <x:c r="G9" s="29" t="str"/>
      <x:c r="H9" s="29" t="str"/>
    </x:row>
    <x:row r="10" ht="60" customHeight="1">
      <x:c r="A10" s="26" t="str">
        <x:v>T05</x:v>
      </x:c>
      <x:c r="B10" s="26" t="str">
        <x:v>版本合同</x:v>
      </x:c>
      <x:c r="C10" s="26" t="str">
        <x:v>已发布 Schema／价格快照不可覆盖；修改生成新版本及摘要</x:v>
      </x:c>
      <x:c r="D10" s="26" t="str">
        <x:v>合同</x:v>
      </x:c>
      <x:c r="E10" s="28" t="str">
        <x:v>未执行</x:v>
      </x:c>
      <x:c r="F10" s="28" t="str"/>
      <x:c r="G10" s="28" t="str"/>
      <x:c r="H10" s="28" t="str"/>
    </x:row>
    <x:row r="11" ht="60" customHeight="1">
      <x:c r="A11" s="23" t="str">
        <x:v>T06</x:v>
      </x:c>
      <x:c r="B11" s="23" t="str">
        <x:v>导入支持子集</x:v>
      </x:c>
      <x:c r="C11" s="23" t="str">
        <x:v>受支持 OpenAPI 用例通过；外部引用、过大结构及不支持特性有明确诊断</x:v>
      </x:c>
      <x:c r="D11" s="23" t="str">
        <x:v>合同／安全</x:v>
      </x:c>
      <x:c r="E11" s="29" t="str">
        <x:v>未执行</x:v>
      </x:c>
      <x:c r="F11" s="29" t="str"/>
      <x:c r="G11" s="29" t="str"/>
      <x:c r="H11" s="29" t="str"/>
    </x:row>
    <x:row r="12" ht="60" customHeight="1">
      <x:c r="A12" s="26" t="str">
        <x:v>T07</x:v>
      </x:c>
      <x:c r="B12" s="26" t="str">
        <x:v>OAuth 状态</x:v>
      </x:c>
      <x:c r="C12" s="26" t="str">
        <x:v>授权、过期、刷新竞争、撤销、重复 callback 及 scope 缩减处理正确</x:v>
      </x:c>
      <x:c r="D12" s="26" t="str">
        <x:v>集成</x:v>
      </x:c>
      <x:c r="E12" s="28" t="str">
        <x:v>未执行</x:v>
      </x:c>
      <x:c r="F12" s="28" t="str"/>
      <x:c r="G12" s="28" t="str"/>
      <x:c r="H12" s="28" t="str"/>
    </x:row>
    <x:row r="13" ht="60" customHeight="1">
      <x:c r="A13" s="23" t="str">
        <x:v>T08</x:v>
      </x:c>
      <x:c r="B13" s="23" t="str">
        <x:v>令牌隔离</x:v>
      </x:c>
      <x:c r="C13" s="23" t="str">
        <x:v>平台令牌不能作上游 token；audience／issuer 错误拒绝；日志无 token</x:v>
      </x:c>
      <x:c r="D13" s="23" t="str">
        <x:v>安全</x:v>
      </x:c>
      <x:c r="E13" s="29" t="str">
        <x:v>未执行</x:v>
      </x:c>
      <x:c r="F13" s="29" t="str"/>
      <x:c r="G13" s="29" t="str"/>
      <x:c r="H13" s="29" t="str"/>
    </x:row>
    <x:row r="14" ht="60" customHeight="1">
      <x:c r="A14" s="26" t="str">
        <x:v>T09</x:v>
      </x:c>
      <x:c r="B14" s="26" t="str">
        <x:v>持久执行</x:v>
      </x:c>
      <x:c r="C14" s="26" t="str">
        <x:v>创建 Run 后崩溃仍可恢复；异步启动返回稳定 Run ID 与查询入口</x:v>
      </x:c>
      <x:c r="D14" s="26" t="str">
        <x:v>故障注入</x:v>
      </x:c>
      <x:c r="E14" s="28" t="str">
        <x:v>未执行</x:v>
      </x:c>
      <x:c r="F14" s="28" t="str"/>
      <x:c r="G14" s="28" t="str"/>
      <x:c r="H14" s="28" t="str"/>
    </x:row>
    <x:row r="15" ht="60" customHeight="1">
      <x:c r="A15" s="23" t="str">
        <x:v>T10</x:v>
      </x:c>
      <x:c r="B15" s="23" t="str">
        <x:v>租约与崩溃</x:v>
      </x:c>
      <x:c r="C15" s="23" t="str">
        <x:v>旧 fencing token 不能写入完成状态；已提交上游但未知结果进入对账而非盲重试</x:v>
      </x:c>
      <x:c r="D15" s="23" t="str">
        <x:v>故障注入</x:v>
      </x:c>
      <x:c r="E15" s="29" t="str">
        <x:v>未执行</x:v>
      </x:c>
      <x:c r="F15" s="29" t="str"/>
      <x:c r="G15" s="29" t="str"/>
      <x:c r="H15" s="29" t="str"/>
    </x:row>
    <x:row r="16" ht="60" customHeight="1">
      <x:c r="A16" s="26" t="str">
        <x:v>T11</x:v>
      </x:c>
      <x:c r="B16" s="26" t="str">
        <x:v>幂等重放</x:v>
      </x:c>
      <x:c r="C16" s="26" t="str">
        <x:v>同键同摘要复用 Run；不同摘要返回冲突；当前权限被撤销时不泄漏旧结果</x:v>
      </x:c>
      <x:c r="D16" s="26" t="str">
        <x:v>集成</x:v>
      </x:c>
      <x:c r="E16" s="28" t="str">
        <x:v>未执行</x:v>
      </x:c>
      <x:c r="F16" s="28" t="str"/>
      <x:c r="G16" s="28" t="str"/>
      <x:c r="H16" s="28" t="str"/>
    </x:row>
    <x:row r="17" ht="60" customHeight="1">
      <x:c r="A17" s="23" t="str">
        <x:v>T12</x:v>
      </x:c>
      <x:c r="B17" s="23" t="str">
        <x:v>副作用重试</x:v>
      </x:c>
      <x:c r="C17" s="23" t="str">
        <x:v>非幂等工具超时不会自动再次提交；可查询的上游先查询确认</x:v>
      </x:c>
      <x:c r="D17" s="23" t="str">
        <x:v>合同</x:v>
      </x:c>
      <x:c r="E17" s="29" t="str">
        <x:v>未执行</x:v>
      </x:c>
      <x:c r="F17" s="29" t="str"/>
      <x:c r="G17" s="29" t="str"/>
      <x:c r="H17" s="29" t="str"/>
    </x:row>
    <x:row r="18" ht="60" customHeight="1">
      <x:c r="A18" s="26" t="str">
        <x:v>T13</x:v>
      </x:c>
      <x:c r="B18" s="26" t="str">
        <x:v>工具集发布</x:v>
      </x:c>
      <x:c r="C18" s="26" t="str">
        <x:v>同一入口原子切换快照；已有 Run 固定旧版本；未授权绑定不可调用</x:v>
      </x:c>
      <x:c r="D18" s="26" t="str">
        <x:v>集成</x:v>
      </x:c>
      <x:c r="E18" s="28" t="str">
        <x:v>未执行</x:v>
      </x:c>
      <x:c r="F18" s="28" t="str"/>
      <x:c r="G18" s="28" t="str"/>
      <x:c r="H18" s="28" t="str"/>
    </x:row>
    <x:row r="19" ht="60" customHeight="1">
      <x:c r="A19" s="23" t="str">
        <x:v>T14</x:v>
      </x:c>
      <x:c r="B19" s="23" t="str">
        <x:v>元工具授权</x:v>
      </x:c>
      <x:c r="C19" s="23" t="str">
        <x:v>允许 run_start 不代表允许其任意目标；目标、Connection 与参数策略再次检查</x:v>
      </x:c>
      <x:c r="D19" s="23" t="str">
        <x:v>安全</x:v>
      </x:c>
      <x:c r="E19" s="29" t="str">
        <x:v>未执行</x:v>
      </x:c>
      <x:c r="F19" s="29" t="str"/>
      <x:c r="G19" s="29" t="str"/>
      <x:c r="H19" s="29" t="str"/>
    </x:row>
    <x:row r="20" ht="60" customHeight="1">
      <x:c r="A20" s="26" t="str">
        <x:v>T15</x:v>
      </x:c>
      <x:c r="B20" s="26" t="str">
        <x:v>MCP 兼容</x:v>
      </x:c>
      <x:c r="C20" s="26" t="str">
        <x:v>2026-07-28 与选定旧版矩阵通过；不对未测试客户端宣称兼容</x:v>
      </x:c>
      <x:c r="D20" s="26" t="str">
        <x:v>协议</x:v>
      </x:c>
      <x:c r="E20" s="28" t="str">
        <x:v>未执行</x:v>
      </x:c>
      <x:c r="F20" s="28" t="str"/>
      <x:c r="G20" s="28" t="str"/>
      <x:c r="H20" s="28" t="str"/>
    </x:row>
    <x:row r="21" ht="60" customHeight="1">
      <x:c r="A21" s="23" t="str">
        <x:v>T16</x:v>
      </x:c>
      <x:c r="B21" s="23" t="str">
        <x:v>MCP 头部一致性</x:v>
      </x:c>
      <x:c r="C21" s="23" t="str">
        <x:v>版本、方法、工具名头与 body 不一致时按规范拒绝，不能利用降级绕过权限</x:v>
      </x:c>
      <x:c r="D21" s="23" t="str">
        <x:v>协议／安全</x:v>
      </x:c>
      <x:c r="E21" s="29" t="str">
        <x:v>未执行</x:v>
      </x:c>
      <x:c r="F21" s="29" t="str"/>
      <x:c r="G21" s="29" t="str"/>
      <x:c r="H21" s="29" t="str"/>
    </x:row>
    <x:row r="22" ht="60" customHeight="1">
      <x:c r="A22" s="26" t="str">
        <x:v>T17</x:v>
      </x:c>
      <x:c r="B22" s="26" t="str">
        <x:v>Agent 任务</x:v>
      </x:c>
      <x:c r="C22" s="26" t="str">
        <x:v>提交、补充输入、轮询、重复回调、取消未确认及产物获取符合适配合同</x:v>
      </x:c>
      <x:c r="D22" s="26" t="str">
        <x:v>合同</x:v>
      </x:c>
      <x:c r="E22" s="28" t="str">
        <x:v>未执行</x:v>
      </x:c>
      <x:c r="F22" s="28" t="str"/>
      <x:c r="G22" s="28" t="str"/>
      <x:c r="H22" s="28" t="str"/>
    </x:row>
    <x:row r="23" ht="60" customHeight="1">
      <x:c r="A23" s="23" t="str">
        <x:v>T18</x:v>
      </x:c>
      <x:c r="B23" s="23" t="str">
        <x:v>并发预算</x:v>
      </x:c>
      <x:c r="C23" s="23" t="str">
        <x:v>同余额并发预留不穿透；不足时 Run 不执行且无残留预留</x:v>
      </x:c>
      <x:c r="D23" s="23" t="str">
        <x:v>并发</x:v>
      </x:c>
      <x:c r="E23" s="29" t="str">
        <x:v>未执行</x:v>
      </x:c>
      <x:c r="F23" s="29" t="str"/>
      <x:c r="G23" s="29" t="str"/>
      <x:c r="H23" s="29" t="str"/>
    </x:row>
    <x:row r="24" ht="60" customHeight="1">
      <x:c r="A24" s="26" t="str">
        <x:v>T19</x:v>
      </x:c>
      <x:c r="B24" s="26" t="str">
        <x:v>预算周期</x:v>
      </x:c>
      <x:c r="C24" s="26" t="str">
        <x:v>跨周期任务结算回原预算窗口；根预算与子分配不重复占用</x:v>
      </x:c>
      <x:c r="D24" s="26" t="str">
        <x:v>集成</x:v>
      </x:c>
      <x:c r="E24" s="28" t="str">
        <x:v>未执行</x:v>
      </x:c>
      <x:c r="F24" s="28" t="str"/>
      <x:c r="G24" s="28" t="str"/>
      <x:c r="H24" s="28" t="str"/>
    </x:row>
    <x:row r="25" ht="60" customHeight="1">
      <x:c r="A25" s="23" t="str">
        <x:v>T20</x:v>
      </x:c>
      <x:c r="B25" s="23" t="str">
        <x:v>账本守恒</x:v>
      </x:c>
      <x:c r="C25" s="23" t="str">
        <x:v>每币种每分录组增量和为 0；同业务键结算一次；余额可从分录重建</x:v>
      </x:c>
      <x:c r="D25" s="23" t="str">
        <x:v>属性／集成</x:v>
      </x:c>
      <x:c r="E25" s="29" t="str">
        <x:v>未执行</x:v>
      </x:c>
      <x:c r="F25" s="29" t="str"/>
      <x:c r="G25" s="29" t="str"/>
      <x:c r="H25" s="29" t="str"/>
    </x:row>
    <x:row r="26" ht="60" customHeight="1">
      <x:c r="A26" s="26" t="str">
        <x:v>T21</x:v>
      </x:c>
      <x:c r="B26" s="26" t="str">
        <x:v>不确定费用</x:v>
      </x:c>
      <x:c r="C26" s="26" t="str">
        <x:v>超时或未知上游结果不自动释放资金；迟到计量通过补充分录处理</x:v>
      </x:c>
      <x:c r="D26" s="26" t="str">
        <x:v>故障注入</x:v>
      </x:c>
      <x:c r="E26" s="28" t="str">
        <x:v>未执行</x:v>
      </x:c>
      <x:c r="F26" s="28" t="str"/>
      <x:c r="G26" s="28" t="str"/>
      <x:c r="H26" s="28" t="str"/>
    </x:row>
    <x:row r="27" ht="60" customHeight="1">
      <x:c r="A27" s="23" t="str">
        <x:v>T22</x:v>
      </x:c>
      <x:c r="B27" s="23" t="str">
        <x:v>插件准入</x:v>
      </x:c>
      <x:c r="C27" s="23" t="str">
        <x:v>清单、摘要、ABI、权限、Schema 任一不合法不能发布</x:v>
      </x:c>
      <x:c r="D27" s="23" t="str">
        <x:v>合同／安全</x:v>
      </x:c>
      <x:c r="E27" s="29" t="str">
        <x:v>未执行</x:v>
      </x:c>
      <x:c r="F27" s="29" t="str"/>
      <x:c r="G27" s="29" t="str"/>
      <x:c r="H27" s="29" t="str"/>
    </x:row>
    <x:row r="28" ht="60" customHeight="1">
      <x:c r="A28" s="26" t="str">
        <x:v>T23</x:v>
      </x:c>
      <x:c r="B28" s="26" t="str">
        <x:v>升级与回退</x:v>
      </x:c>
      <x:c r="C28" s="26" t="str">
        <x:v>发布失败不切流；回退后新 Run 使用旧稳定版本，已执行任务不迁移</x:v>
      </x:c>
      <x:c r="D28" s="26" t="str">
        <x:v>演练</x:v>
      </x:c>
      <x:c r="E28" s="28" t="str">
        <x:v>未执行</x:v>
      </x:c>
      <x:c r="F28" s="28" t="str"/>
      <x:c r="G28" s="28" t="str"/>
      <x:c r="H28" s="28" t="str"/>
    </x:row>
    <x:row r="29" ht="60" customHeight="1">
      <x:c r="A29" s="23" t="str">
        <x:v>T24</x:v>
      </x:c>
      <x:c r="B29" s="23" t="str">
        <x:v>审批绑定</x:v>
      </x:c>
      <x:c r="C29" s="23" t="str">
        <x:v>更改参数／版本／主体／金额或过期后旧审批无效；模型布尔值不能替代审批</x:v>
      </x:c>
      <x:c r="D29" s="23" t="str">
        <x:v>安全</x:v>
      </x:c>
      <x:c r="E29" s="29" t="str">
        <x:v>未执行</x:v>
      </x:c>
      <x:c r="F29" s="29" t="str"/>
      <x:c r="G29" s="29" t="str"/>
      <x:c r="H29" s="29" t="str"/>
    </x:row>
    <x:row r="30" ht="60" customHeight="1">
      <x:c r="A30" s="26" t="str">
        <x:v>T25</x:v>
      </x:c>
      <x:c r="B30" s="26" t="str">
        <x:v>运行视图</x:v>
      </x:c>
      <x:c r="C30" s="26" t="str">
        <x:v>状态、时区、分页、事件次序、费用与权限符合 API；危险重试不能直接触发</x:v>
      </x:c>
      <x:c r="D30" s="26" t="str">
        <x:v>E2E</x:v>
      </x:c>
      <x:c r="E30" s="28" t="str">
        <x:v>未执行</x:v>
      </x:c>
      <x:c r="F30" s="28" t="str"/>
      <x:c r="G30" s="28" t="str"/>
      <x:c r="H30" s="28" t="str"/>
    </x:row>
    <x:row r="31" ht="60" customHeight="1">
      <x:c r="A31" s="23" t="str">
        <x:v>T26</x:v>
      </x:c>
      <x:c r="B31" s="23" t="str">
        <x:v>Admin 边界</x:v>
      </x:c>
      <x:c r="C31" s="23" t="str">
        <x:v>平台操作与租户操作分离；JIT 支持访问需原因、时限与审计</x:v>
      </x:c>
      <x:c r="D31" s="23" t="str">
        <x:v>安全／E2E</x:v>
      </x:c>
      <x:c r="E31" s="29" t="str">
        <x:v>未执行</x:v>
      </x:c>
      <x:c r="F31" s="29" t="str"/>
      <x:c r="G31" s="29" t="str"/>
      <x:c r="H31" s="29" t="str"/>
    </x:row>
    <x:row r="32" ht="60" customHeight="1">
      <x:c r="A32" s="26" t="str">
        <x:v>T27</x:v>
      </x:c>
      <x:c r="B32" s="26" t="str">
        <x:v>支付回调</x:v>
      </x:c>
      <x:c r="C32" s="26" t="str">
        <x:v>验签失败拒绝；重复事件一次入账；币种／金额不匹配隔离；退款不改旧分录</x:v>
      </x:c>
      <x:c r="D32" s="26" t="str">
        <x:v>集成</x:v>
      </x:c>
      <x:c r="E32" s="28" t="str">
        <x:v>未执行</x:v>
      </x:c>
      <x:c r="F32" s="28" t="str"/>
      <x:c r="G32" s="28" t="str"/>
      <x:c r="H32" s="28" t="str"/>
    </x:row>
    <x:row r="33" ht="60" customHeight="1">
      <x:c r="A33" s="23" t="str">
        <x:v>T28</x:v>
      </x:c>
      <x:c r="B33" s="23" t="str">
        <x:v>Webhook 安全</x:v>
      </x:c>
      <x:c r="C33" s="23" t="str">
        <x:v>重放、重复、乱序、超时均可处理；SSRF 地址不能成为回调目标</x:v>
      </x:c>
      <x:c r="D33" s="23" t="str">
        <x:v>集成／安全</x:v>
      </x:c>
      <x:c r="E33" s="29" t="str">
        <x:v>未执行</x:v>
      </x:c>
      <x:c r="F33" s="29" t="str"/>
      <x:c r="G33" s="29" t="str"/>
      <x:c r="H33" s="29" t="str"/>
    </x:row>
    <x:row r="34" ht="60" customHeight="1">
      <x:c r="A34" s="26" t="str">
        <x:v>T29</x:v>
      </x:c>
      <x:c r="B34" s="26" t="str">
        <x:v>入口一致</x:v>
      </x:c>
      <x:c r="C34" s="26" t="str">
        <x:v>REST、MCP、CLI／Skill 的权限、计量与 Run 语义一致</x:v>
      </x:c>
      <x:c r="D34" s="26" t="str">
        <x:v>合同</x:v>
      </x:c>
      <x:c r="E34" s="28" t="str">
        <x:v>未执行</x:v>
      </x:c>
      <x:c r="F34" s="28" t="str"/>
      <x:c r="G34" s="28" t="str"/>
      <x:c r="H34" s="28" t="str"/>
    </x:row>
    <x:row r="35" ht="60" customHeight="1">
      <x:c r="A35" s="23" t="str">
        <x:v>T30</x:v>
      </x:c>
      <x:c r="B35" s="23" t="str">
        <x:v>产物权限</x:v>
      </x:c>
      <x:c r="C35" s="23" t="str">
        <x:v>其他租户不能签名或读取产物；过期链接失效；大结果不在列表直接下发</x:v>
      </x:c>
      <x:c r="D35" s="23" t="str">
        <x:v>安全</x:v>
      </x:c>
      <x:c r="E35" s="29" t="str">
        <x:v>未执行</x:v>
      </x:c>
      <x:c r="F35" s="29" t="str"/>
      <x:c r="G35" s="29" t="str"/>
      <x:c r="H35" s="29" t="str"/>
    </x:row>
    <x:row r="36" ht="60" customHeight="1">
      <x:c r="A36" s="26" t="str">
        <x:v>T31</x:v>
      </x:c>
      <x:c r="B36" s="26" t="str">
        <x:v>发布者流程</x:v>
      </x:c>
      <x:c r="C36" s="26" t="str">
        <x:v>草稿→测试→提交→审核→发布，不能自审或绕过冻结版本</x:v>
      </x:c>
      <x:c r="D36" s="26" t="str">
        <x:v>E2E</x:v>
      </x:c>
      <x:c r="E36" s="28" t="str">
        <x:v>未执行</x:v>
      </x:c>
      <x:c r="F36" s="28" t="str"/>
      <x:c r="G36" s="28" t="str"/>
      <x:c r="H36" s="28" t="str"/>
    </x:row>
    <x:row r="37" ht="60" customHeight="1">
      <x:c r="A37" s="23" t="str">
        <x:v>T32</x:v>
      </x:c>
      <x:c r="B37" s="23" t="str">
        <x:v>运行时隔离</x:v>
      </x:c>
      <x:c r="C37" s="23" t="str">
        <x:v>恶意循环、内存膨胀、越权文件／网络与宿主调用被限制；仅扩展阶段验收</x:v>
      </x:c>
      <x:c r="D37" s="23" t="str">
        <x:v>沙箱</x:v>
      </x:c>
      <x:c r="E37" s="29" t="str">
        <x:v>未执行</x:v>
      </x:c>
      <x:c r="F37" s="29" t="str"/>
      <x:c r="G37" s="29" t="str"/>
      <x:c r="H37" s="29" t="str"/>
    </x:row>
    <x:row r="38" ht="60" customHeight="1">
      <x:c r="A38" s="26" t="str">
        <x:v>T33</x:v>
      </x:c>
      <x:c r="B38" s="26" t="str">
        <x:v>SSRF 与秘密</x:v>
      </x:c>
      <x:c r="C38" s="26" t="str">
        <x:v>覆盖 IPv4／IPv6、重定向、DNS 变化、元数据地址和日志泄漏</x:v>
      </x:c>
      <x:c r="D38" s="26" t="str">
        <x:v>安全</x:v>
      </x:c>
      <x:c r="E38" s="28" t="str">
        <x:v>未执行</x:v>
      </x:c>
      <x:c r="F38" s="28" t="str"/>
      <x:c r="G38" s="28" t="str"/>
      <x:c r="H38" s="28" t="str"/>
    </x:row>
    <x:row r="39" ht="60" customHeight="1">
      <x:c r="A39" s="23" t="str">
        <x:v>T34</x:v>
      </x:c>
      <x:c r="B39" s="23" t="str">
        <x:v>容量性能</x:v>
      </x:c>
      <x:c r="C39" s="23" t="str">
        <x:v>约定环境下 20 RPS 稳态、50 RPS 短突发；预算并发与延迟目标同时满足</x:v>
      </x:c>
      <x:c r="D39" s="23" t="str">
        <x:v>性能</x:v>
      </x:c>
      <x:c r="E39" s="29" t="str">
        <x:v>未执行</x:v>
      </x:c>
      <x:c r="F39" s="29" t="str"/>
      <x:c r="G39" s="29" t="str"/>
      <x:c r="H39" s="29" t="str"/>
    </x:row>
    <x:row r="40" ht="60" customHeight="1">
      <x:c r="A40" s="26" t="str">
        <x:v>T35</x:v>
      </x:c>
      <x:c r="B40" s="26" t="str">
        <x:v>灾备恢复</x:v>
      </x:c>
      <x:c r="C40" s="26" t="str">
        <x:v>从备份／日志恢复后核对 Run、分录、预留与外部副作用，不自动重放未知任务</x:v>
      </x:c>
      <x:c r="D40" s="26" t="str">
        <x:v>演练</x:v>
      </x:c>
      <x:c r="E40" s="28" t="str">
        <x:v>未执行</x:v>
      </x:c>
      <x:c r="F40" s="28" t="str"/>
      <x:c r="G40" s="28" t="str"/>
      <x:c r="H40" s="28" t="str"/>
    </x:row>
    <x:row r="41" ht="60" customHeight="1">
      <x:c r="A41" s="23" t="str">
        <x:v>T36</x:v>
      </x:c>
      <x:c r="B41" s="23" t="str">
        <x:v>观测完整</x:v>
      </x:c>
      <x:c r="C41" s="23" t="str">
        <x:v>入口到上游有 Run、Attempt、Trace 关联；审计访问可追溯；敏感内容不入指标标签</x:v>
      </x:c>
      <x:c r="D41" s="23" t="str">
        <x:v>可观测</x:v>
      </x:c>
      <x:c r="E41" s="29" t="str">
        <x:v>未执行</x:v>
      </x:c>
      <x:c r="F41" s="29" t="str"/>
      <x:c r="G41" s="29" t="str"/>
      <x:c r="H41" s="29" t="str"/>
    </x:row>
    <x:row r="42" ht="60" customHeight="1">
      <x:c r="A42" s="26" t="str">
        <x:v>T37</x:v>
      </x:c>
      <x:c r="B42" s="26" t="str">
        <x:v>前端质量</x:v>
      </x:c>
      <x:c r="C42" s="26" t="str">
        <x:v>关键页面在约定分辨率和键盘路径无阻塞；错误、空态、加载态完整</x:v>
      </x:c>
      <x:c r="D42" s="26" t="str">
        <x:v>E2E／可访问性</x:v>
      </x:c>
      <x:c r="E42" s="28" t="str">
        <x:v>未执行</x:v>
      </x:c>
      <x:c r="F42" s="28" t="str"/>
      <x:c r="G42" s="28" t="str"/>
      <x:c r="H42" s="28" t="str"/>
    </x:row>
    <x:row r="43" ht="60" customHeight="1">
      <x:c r="A43" s="23" t="str">
        <x:v>T38</x:v>
      </x:c>
      <x:c r="B43" s="23" t="str">
        <x:v>迁移兼容</x:v>
      </x:c>
      <x:c r="C43" s="23" t="str">
        <x:v>旧新 API／Worker 对扩展迁移兼容；回退不依赖破坏性 down migration</x:v>
      </x:c>
      <x:c r="D43" s="23" t="str">
        <x:v>发布</x:v>
      </x:c>
      <x:c r="E43" s="29" t="str">
        <x:v>未执行</x:v>
      </x:c>
      <x:c r="F43" s="29" t="str"/>
      <x:c r="G43" s="29" t="str"/>
      <x:c r="H43" s="29" t="str"/>
    </x:row>
    <x:row r="44" ht="60" customHeight="1">
      <x:c r="A44" s="26" t="str">
        <x:v>T39</x:v>
      </x:c>
      <x:c r="B44" s="26" t="str">
        <x:v>上线门禁</x:v>
      </x:c>
      <x:c r="C44" s="26" t="str">
        <x:v>高危问题、未解释账差、失败回滚或缺少责任人任一出现即 No-Go</x:v>
      </x:c>
      <x:c r="D44" s="26" t="str">
        <x:v>验收</x:v>
      </x:c>
      <x:c r="E44" s="28" t="str">
        <x:v>未执行</x:v>
      </x:c>
      <x:c r="F44" s="28" t="str"/>
      <x:c r="G44" s="28" t="str"/>
      <x:c r="H44" s="28" t="str"/>
    </x:row>
    <x:row r="45" ht="60" customHeight="1">
      <x:c r="A45" s="23" t="str">
        <x:v>T40</x:v>
      </x:c>
      <x:c r="B45" s="23" t="str">
        <x:v>取消语义</x:v>
      </x:c>
      <x:c r="C45" s="23" t="str">
        <x:v>关闭同步 MCP SSE 请求触发取消；显式 run_start 提交后断线不误删持久任务</x:v>
      </x:c>
      <x:c r="D45" s="23" t="str">
        <x:v>协议／故障注入</x:v>
      </x:c>
      <x:c r="E45" s="29" t="str">
        <x:v>未执行</x:v>
      </x:c>
      <x:c r="F45" s="29" t="str"/>
      <x:c r="G45" s="29" t="str"/>
      <x:c r="H45" s="29" t="str"/>
    </x:row>
    <x:row r="46" ht="68" customHeight="1">
      <x:c r="A46" s="107" t="str">
        <x:v>T41</x:v>
      </x:c>
      <x:c r="B46" s="107" t="str">
        <x:v>pnpm 与锁文件门禁</x:v>
      </x:c>
      <x:c r="C46" s="107" t="str">
        <x:v>错误包管理器、漂移版本、第二锁文件、非 workspace 内部依赖和冻结安装不一致应失败</x:v>
      </x:c>
      <x:c r="D46" s="107" t="str">
        <x:v>工程／CI</x:v>
      </x:c>
      <x:c r="E46" s="107" t="str">
        <x:v>未执行</x:v>
      </x:c>
      <x:c r="F46" s="107"/>
      <x:c r="G46" s="107"/>
      <x:c r="H46" s="107"/>
    </x:row>
    <x:row r="47" ht="68" customHeight="1">
      <x:c r="A47" s="107" t="str">
        <x:v>T42</x:v>
      </x:c>
      <x:c r="B47" s="107" t="str">
        <x:v>后端依赖方向</x:v>
      </x:c>
      <x:c r="C47" s="107" t="str">
        <x:v>domain 引用 Gin／SQL／SDK 或 application 引用具体 adapter 时失败；纯内层可独立编译</x:v>
      </x:c>
      <x:c r="D47" s="107" t="str">
        <x:v>架构</x:v>
      </x:c>
      <x:c r="E47" s="107" t="str">
        <x:v>未执行</x:v>
      </x:c>
      <x:c r="F47" s="107"/>
      <x:c r="G47" s="107"/>
      <x:c r="H47" s="107"/>
    </x:row>
    <x:row r="48" ht="68" customHeight="1">
      <x:c r="A48" s="107" t="str">
        <x:v>T43</x:v>
      </x:c>
      <x:c r="B48" s="107" t="str">
        <x:v>上下文与数据所有权</x:v>
      </x:c>
      <x:c r="C48" s="107" t="str">
        <x:v>跨域深导入、循环依赖、越权表写入和未经公开合同的查询被测试或审查门禁阻断</x:v>
      </x:c>
      <x:c r="D48" s="107" t="str">
        <x:v>架构／集成</x:v>
      </x:c>
      <x:c r="E48" s="107" t="str">
        <x:v>未执行</x:v>
      </x:c>
      <x:c r="F48" s="107"/>
      <x:c r="G48" s="107"/>
      <x:c r="H48" s="107"/>
    </x:row>
    <x:row r="49" ht="68" customHeight="1">
      <x:c r="A49" s="107" t="str">
        <x:v>T44</x:v>
      </x:c>
      <x:c r="B49" s="107" t="str">
        <x:v>前端边界与纯模型</x:v>
      </x:c>
      <x:c r="C49" s="107" t="str">
        <x:v>识别别名、相对路径、re-export 和 type-only 绕行；domain 不引用 React／HTTP／生成 DTO</x:v>
      </x:c>
      <x:c r="D49" s="107" t="str">
        <x:v>架构</x:v>
      </x:c>
      <x:c r="E49" s="107" t="str">
        <x:v>未执行</x:v>
      </x:c>
      <x:c r="F49" s="107"/>
      <x:c r="G49" s="107"/>
      <x:c r="H49" s="107"/>
    </x:row>
    <x:row r="50" ht="68" customHeight="1">
      <x:c r="A50" s="107" t="str">
        <x:v>T45</x:v>
      </x:c>
      <x:c r="B50" s="107" t="str">
        <x:v>聚合行为与不变量</x:v>
      </x:c>
      <x:c r="C50" s="107" t="str">
        <x:v>直接绕过 Run 状态转换、覆盖已发布版本、负数金额及超额预留均被拒绝</x:v>
      </x:c>
      <x:c r="D50" s="107" t="str">
        <x:v>领域单元</x:v>
      </x:c>
      <x:c r="E50" s="107" t="str">
        <x:v>未执行</x:v>
      </x:c>
      <x:c r="F50" s="107"/>
      <x:c r="G50" s="107"/>
      <x:c r="H50" s="107"/>
    </x:row>
    <x:row r="51" ht="68" customHeight="1">
      <x:c r="A51" s="107" t="str">
        <x:v>T46</x:v>
      </x:c>
      <x:c r="B51" s="107" t="str">
        <x:v>端口与装配可替换</x:v>
      </x:c>
      <x:c r="C51" s="107" t="str">
        <x:v>相同用例通过内存 Fake 和真实适配器合同；内层无需数据库、Gin 或浏览器即可测试</x:v>
      </x:c>
      <x:c r="D51" s="107" t="str">
        <x:v>单元／合同</x:v>
      </x:c>
      <x:c r="E51" s="107" t="str">
        <x:v>未执行</x:v>
      </x:c>
      <x:c r="F51" s="107"/>
      <x:c r="G51" s="107"/>
      <x:c r="H51" s="107"/>
    </x:row>
    <x:row r="52" ht="68" customHeight="1">
      <x:c r="A52" s="107" t="str">
        <x:v>T47</x:v>
      </x:c>
      <x:c r="B52" s="107" t="str">
        <x:v>跨上下文原子受理</x:v>
      </x:c>
      <x:c r="C52" s="107" t="str">
        <x:v>预留、Run、任务与 Outbox 各写入点注入失败均全回滚；事务作用域内禁止外部网络执行</x:v>
      </x:c>
      <x:c r="D52" s="107" t="str">
        <x:v>故障注入</x:v>
      </x:c>
      <x:c r="E52" s="107" t="str">
        <x:v>未执行</x:v>
      </x:c>
      <x:c r="F52" s="107"/>
      <x:c r="G52" s="107"/>
      <x:c r="H52" s="107"/>
    </x:row>
    <x:row r="53" ht="68" customHeight="1">
      <x:c r="A53" s="107" t="str">
        <x:v>T48</x:v>
      </x:c>
      <x:c r="B53" s="107" t="str">
        <x:v>事件合同与提交顺序</x:v>
      </x:c>
      <x:c r="C53" s="107" t="str">
        <x:v>领域事件显式映射集成事件；提交前不发布；重复和乱序投递不破坏幂等及状态</x:v>
      </x:c>
      <x:c r="D53" s="107" t="str">
        <x:v>合同／故障注入</x:v>
      </x:c>
      <x:c r="E53" s="107" t="str">
        <x:v>未执行</x:v>
      </x:c>
      <x:c r="F53" s="107"/>
      <x:c r="G53" s="107"/>
      <x:c r="H53" s="107"/>
    </x:row>
  </x:sheetData>
  <x:mergeCells>
    <x:mergeCell ref="A1:H1"/>
    <x:mergeCell ref="A2:H3"/>
  </x:mergeCells>
  <x:dataValidations count="1">
    <x:dataValidation type="list" sqref="E6:E45">
      <x:formula1>"未执行,进行中,通过,失败,不适用（已批准）"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9301509c994b7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0" hidden="0" customWidth="1"/>
    <x:col min="4" max="4" width="10" hidden="0" customWidth="1"/>
    <x:col min="5" max="5" width="10" hidden="0" customWidth="1"/>
    <x:col min="6" max="6" width="12" hidden="0" customWidth="1"/>
    <x:col min="7" max="7" width="12" hidden="0" customWidth="1"/>
    <x:col min="8" max="8" width="63" hidden="0" customWidth="1"/>
    <x:col min="9" max="9" width="45" hidden="0" customWidth="1"/>
    <x:col min="10" max="10" width="14" hidden="0" customWidth="1"/>
    <x:col min="11" max="11" width="38" hidden="0" customWidth="1"/>
  </x:cols>
  <x:sheetData>
    <x:row r="1" ht="34" customHeight="1">
      <x:c r="A1" s="5" t="str">
        <x:v>MCPX / 风险登记与应对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2" customHeight="1">
      <x:c r="A2" s="10" t="str">
        <x:v>概率按低=1、中=2、高=3；影响按低=1、中=2、高=3、极高=4；风险分为两者乘积。分值用于排序，不替代对安全与资金风险的强制处理。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 ht="22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0" customHeight="1">
      <x:c r="A5" s="17" t="str">
        <x:v>风险ID</x:v>
      </x:c>
      <x:c r="B5" s="17" t="str">
        <x:v>风险</x:v>
      </x:c>
      <x:c r="C5" s="17" t="str">
        <x:v>概率</x:v>
      </x:c>
      <x:c r="D5" s="17" t="str">
        <x:v>影响</x:v>
      </x:c>
      <x:c r="E5" s="17" t="str">
        <x:v>分值</x:v>
      </x:c>
      <x:c r="F5" s="17" t="str">
        <x:v>责任角色</x:v>
      </x:c>
      <x:c r="G5" s="17" t="str">
        <x:v>首次阶段</x:v>
      </x:c>
      <x:c r="H5" s="17" t="str">
        <x:v>缓解措施</x:v>
      </x:c>
      <x:c r="I5" s="17" t="str">
        <x:v>触发信号</x:v>
      </x:c>
      <x:c r="J5" s="17" t="str">
        <x:v>状态</x:v>
      </x:c>
      <x:c r="K5" s="17" t="str">
        <x:v>处置证据</x:v>
      </x:c>
    </x:row>
    <x:row r="6" ht="61" customHeight="1">
      <x:c r="A6" s="26" t="str">
        <x:v>R01</x:v>
      </x:c>
      <x:c r="B6" s="26" t="str">
        <x:v>协议或客户端兼容差异</x:v>
      </x:c>
      <x:c r="C6" s="26" t="str">
        <x:v>高</x:v>
      </x:c>
      <x:c r="D6" s="26" t="str">
        <x:v>高</x:v>
      </x:c>
      <x:c r="E6" s="26" t="n">
        <x:f>IF(C6="高",3,IF(C6="中",2,1))*IF(D6="极高",4,IF(D6="高",3,IF(D6="中",2,1)))</x:f>
        <x:v>9</x:v>
      </x:c>
      <x:c r="F6" s="26" t="str">
        <x:v>BE-B</x:v>
      </x:c>
      <x:c r="G6" s="26" t="str">
        <x:v>S0</x:v>
      </x:c>
      <x:c r="H6" s="26" t="str">
        <x:v>指定版本矩阵；不通过则关闭对应能力</x:v>
      </x:c>
      <x:c r="I6" s="26" t="str">
        <x:v>T15／T16 失败</x:v>
      </x:c>
      <x:c r="J6" s="26" t="str">
        <x:v>开放</x:v>
      </x:c>
      <x:c r="K6" s="26" t="str"/>
    </x:row>
    <x:row r="7" ht="61" customHeight="1">
      <x:c r="A7" s="23" t="str">
        <x:v>R02</x:v>
      </x:c>
      <x:c r="B7" s="23" t="str">
        <x:v>上游已执行但响应丢失</x:v>
      </x:c>
      <x:c r="C7" s="23" t="str">
        <x:v>高</x:v>
      </x:c>
      <x:c r="D7" s="23" t="str">
        <x:v>高</x:v>
      </x:c>
      <x:c r="E7" s="23" t="n">
        <x:f>IF(C7="高",3,IF(C7="中",2,1))*IF(D7="极高",4,IF(D7="高",3,IF(D7="中",2,1)))</x:f>
        <x:v>9</x:v>
      </x:c>
      <x:c r="F7" s="23" t="str">
        <x:v>BE-A</x:v>
      </x:c>
      <x:c r="G7" s="23" t="str">
        <x:v>S2</x:v>
      </x:c>
      <x:c r="H7" s="23" t="str">
        <x:v>幂等、上游查询、reconciling 与人工对账</x:v>
      </x:c>
      <x:c r="I7" s="23" t="str">
        <x:v>出现不确定副作用</x:v>
      </x:c>
      <x:c r="J7" s="23" t="str">
        <x:v>开放</x:v>
      </x:c>
      <x:c r="K7" s="23" t="str"/>
    </x:row>
    <x:row r="8" ht="61" customHeight="1">
      <x:c r="A8" s="26" t="str">
        <x:v>R03</x:v>
      </x:c>
      <x:c r="B8" s="26" t="str">
        <x:v>并发预算穿透／重复扣费</x:v>
      </x:c>
      <x:c r="C8" s="26" t="str">
        <x:v>中</x:v>
      </x:c>
      <x:c r="D8" s="26" t="str">
        <x:v>极高</x:v>
      </x:c>
      <x:c r="E8" s="26" t="n">
        <x:f>IF(C8="高",3,IF(C8="中",2,1))*IF(D8="极高",4,IF(D8="高",3,IF(D8="中",2,1)))</x:f>
        <x:v>8</x:v>
      </x:c>
      <x:c r="F8" s="26" t="str">
        <x:v>BE-A</x:v>
      </x:c>
      <x:c r="G8" s="26" t="str">
        <x:v>S2</x:v>
      </x:c>
      <x:c r="H8" s="26" t="str">
        <x:v>数据库原子预留、唯一业务键和守恒测试</x:v>
      </x:c>
      <x:c r="I8" s="26" t="str">
        <x:v>账本或预算不变量失败</x:v>
      </x:c>
      <x:c r="J8" s="26" t="str">
        <x:v>开放</x:v>
      </x:c>
      <x:c r="K8" s="26" t="str"/>
    </x:row>
    <x:row r="9" ht="61" customHeight="1">
      <x:c r="A9" s="23" t="str">
        <x:v>R04</x:v>
      </x:c>
      <x:c r="B9" s="23" t="str">
        <x:v>跨租户访问与缓存泄漏</x:v>
      </x:c>
      <x:c r="C9" s="23" t="str">
        <x:v>中</x:v>
      </x:c>
      <x:c r="D9" s="23" t="str">
        <x:v>极高</x:v>
      </x:c>
      <x:c r="E9" s="23" t="n">
        <x:f>IF(C9="高",3,IF(C9="中",2,1))*IF(D9="极高",4,IF(D9="高",3,IF(D9="中",2,1)))</x:f>
        <x:v>8</x:v>
      </x:c>
      <x:c r="F9" s="23" t="str">
        <x:v>QA</x:v>
      </x:c>
      <x:c r="G9" s="23" t="str">
        <x:v>S1</x:v>
      </x:c>
      <x:c r="H9" s="23" t="str">
        <x:v>权限前置、复合键、RLS 防线与负向测试</x:v>
      </x:c>
      <x:c r="I9" s="23" t="str">
        <x:v>任一隔离用例失败</x:v>
      </x:c>
      <x:c r="J9" s="23" t="str">
        <x:v>开放</x:v>
      </x:c>
      <x:c r="K9" s="23" t="str"/>
    </x:row>
    <x:row r="10" ht="61" customHeight="1">
      <x:c r="A10" s="26" t="str">
        <x:v>R05</x:v>
      </x:c>
      <x:c r="B10" s="26" t="str">
        <x:v>OAuth 授权审核拖期</x:v>
      </x:c>
      <x:c r="C10" s="26" t="str">
        <x:v>高</x:v>
      </x:c>
      <x:c r="D10" s="26" t="str">
        <x:v>中</x:v>
      </x:c>
      <x:c r="E10" s="26" t="n">
        <x:f>IF(C10="高",3,IF(C10="中",2,1))*IF(D10="极高",4,IF(D10="高",3,IF(D10="中",2,1)))</x:f>
        <x:v>6</x:v>
      </x:c>
      <x:c r="F10" s="26" t="str">
        <x:v>PM</x:v>
      </x:c>
      <x:c r="G10" s="26" t="str">
        <x:v>S0</x:v>
      </x:c>
      <x:c r="H10" s="26" t="str">
        <x:v>首周申请；BYOK 备选；只承诺已验收供应商</x:v>
      </x:c>
      <x:c r="I10" s="26" t="str">
        <x:v>到 G2 尚无批准</x:v>
      </x:c>
      <x:c r="J10" s="26" t="str">
        <x:v>开放</x:v>
      </x:c>
      <x:c r="K10" s="26" t="str"/>
    </x:row>
    <x:row r="11" ht="61" customHeight="1">
      <x:c r="A11" s="23" t="str">
        <x:v>R06</x:v>
      </x:c>
      <x:c r="B11" s="23" t="str">
        <x:v>SSRF／凭据外泄</x:v>
      </x:c>
      <x:c r="C11" s="23" t="str">
        <x:v>中</x:v>
      </x:c>
      <x:c r="D11" s="23" t="str">
        <x:v>极高</x:v>
      </x:c>
      <x:c r="E11" s="23" t="n">
        <x:f>IF(C11="高",3,IF(C11="中",2,1))*IF(D11="极高",4,IF(D11="高",3,IF(D11="中",2,1)))</x:f>
        <x:v>8</x:v>
      </x:c>
      <x:c r="F11" s="23" t="str">
        <x:v>SRE</x:v>
      </x:c>
      <x:c r="G11" s="23" t="str">
        <x:v>S0</x:v>
      </x:c>
      <x:c r="H11" s="23" t="str">
        <x:v>出口代理、目标策略、秘密代理与日志脱敏</x:v>
      </x:c>
      <x:c r="I11" s="23" t="str">
        <x:v>安全测试或异常出口告警</x:v>
      </x:c>
      <x:c r="J11" s="23" t="str">
        <x:v>开放</x:v>
      </x:c>
      <x:c r="K11" s="23" t="str"/>
    </x:row>
    <x:row r="12" ht="61" customHeight="1">
      <x:c r="A12" s="26" t="str">
        <x:v>R07</x:v>
      </x:c>
      <x:c r="B12" s="26" t="str">
        <x:v>供应商不允许转售／再分发</x:v>
      </x:c>
      <x:c r="C12" s="26" t="str">
        <x:v>中</x:v>
      </x:c>
      <x:c r="D12" s="26" t="str">
        <x:v>高</x:v>
      </x:c>
      <x:c r="E12" s="26" t="n">
        <x:f>IF(C12="高",3,IF(C12="中",2,1))*IF(D12="极高",4,IF(D12="高",3,IF(D12="中",2,1)))</x:f>
        <x:v>6</x:v>
      </x:c>
      <x:c r="F12" s="26" t="str">
        <x:v>PM</x:v>
      </x:c>
      <x:c r="G12" s="26" t="str">
        <x:v>S0</x:v>
      </x:c>
      <x:c r="H12" s="26" t="str">
        <x:v>逐供应商书面确认；不满足则 BYOK 或下架</x:v>
      </x:c>
      <x:c r="I12" s="26" t="str">
        <x:v>合同／授权条款未确认</x:v>
      </x:c>
      <x:c r="J12" s="26" t="str">
        <x:v>开放</x:v>
      </x:c>
      <x:c r="K12" s="26" t="str"/>
    </x:row>
    <x:row r="13" ht="61" customHeight="1">
      <x:c r="A13" s="23" t="str">
        <x:v>R08</x:v>
      </x:c>
      <x:c r="B13" s="23" t="str">
        <x:v>运行时范围膨胀</x:v>
      </x:c>
      <x:c r="C13" s="23" t="str">
        <x:v>高</x:v>
      </x:c>
      <x:c r="D13" s="23" t="str">
        <x:v>高</x:v>
      </x:c>
      <x:c r="E13" s="23" t="n">
        <x:f>IF(C13="高",3,IF(C13="中",2,1))*IF(D13="极高",4,IF(D13="高",3,IF(D13="中",2,1)))</x:f>
        <x:v>9</x:v>
      </x:c>
      <x:c r="F13" s="23" t="str">
        <x:v>PM</x:v>
      </x:c>
      <x:c r="G13" s="23" t="str">
        <x:v>S4</x:v>
      </x:c>
      <x:c r="H13" s="23" t="str">
        <x:v>S6 独立准入；首发禁止任意代码托管</x:v>
      </x:c>
      <x:c r="I13" s="23" t="str">
        <x:v>任意代码需求进入 P0</x:v>
      </x:c>
      <x:c r="J13" s="23" t="str">
        <x:v>开放</x:v>
      </x:c>
      <x:c r="K13" s="23" t="str"/>
    </x:row>
    <x:row r="14" ht="61" customHeight="1">
      <x:c r="A14" s="26" t="str">
        <x:v>R09</x:v>
      </x:c>
      <x:c r="B14" s="26" t="str">
        <x:v>插件供应链污染</x:v>
      </x:c>
      <x:c r="C14" s="26" t="str">
        <x:v>中</x:v>
      </x:c>
      <x:c r="D14" s="26" t="str">
        <x:v>极高</x:v>
      </x:c>
      <x:c r="E14" s="26" t="n">
        <x:f>IF(C14="高",3,IF(C14="中",2,1))*IF(D14="极高",4,IF(D14="高",3,IF(D14="中",2,1)))</x:f>
        <x:v>8</x:v>
      </x:c>
      <x:c r="F14" s="26" t="str">
        <x:v>SRE</x:v>
      </x:c>
      <x:c r="G14" s="26" t="str">
        <x:v>S4</x:v>
      </x:c>
      <x:c r="H14" s="26" t="str">
        <x:v>不可变摘要、审核、签名与紧急禁用</x:v>
      </x:c>
      <x:c r="I14" s="26" t="str">
        <x:v>制品或权限发生未审变更</x:v>
      </x:c>
      <x:c r="J14" s="26" t="str">
        <x:v>开放</x:v>
      </x:c>
      <x:c r="K14" s="26" t="str"/>
    </x:row>
    <x:row r="15" ht="61" customHeight="1">
      <x:c r="A15" s="23" t="str">
        <x:v>R10</x:v>
      </x:c>
      <x:c r="B15" s="23" t="str">
        <x:v>支付与退款规则不明</x:v>
      </x:c>
      <x:c r="C15" s="23" t="str">
        <x:v>中</x:v>
      </x:c>
      <x:c r="D15" s="23" t="str">
        <x:v>高</x:v>
      </x:c>
      <x:c r="E15" s="23" t="n">
        <x:f>IF(C15="高",3,IF(C15="中",2,1))*IF(D15="极高",4,IF(D15="高",3,IF(D15="中",2,1)))</x:f>
        <x:v>6</x:v>
      </x:c>
      <x:c r="F15" s="23" t="str">
        <x:v>PM</x:v>
      </x:c>
      <x:c r="G15" s="23" t="str">
        <x:v>S0</x:v>
      </x:c>
      <x:c r="H15" s="23" t="str">
        <x:v>确认地区、币种、供应商与财务责任</x:v>
      </x:c>
      <x:c r="I15" s="23" t="str">
        <x:v>G3 前支付方案仍未定</x:v>
      </x:c>
      <x:c r="J15" s="23" t="str">
        <x:v>开放</x:v>
      </x:c>
      <x:c r="K15" s="23" t="str"/>
    </x:row>
    <x:row r="16" ht="61" customHeight="1">
      <x:c r="A16" s="26" t="str">
        <x:v>R11</x:v>
      </x:c>
      <x:c r="B16" s="26" t="str">
        <x:v>超时不等于费用停止</x:v>
      </x:c>
      <x:c r="C16" s="26" t="str">
        <x:v>高</x:v>
      </x:c>
      <x:c r="D16" s="26" t="str">
        <x:v>高</x:v>
      </x:c>
      <x:c r="E16" s="26" t="n">
        <x:f>IF(C16="高",3,IF(C16="中",2,1))*IF(D16="极高",4,IF(D16="高",3,IF(D16="中",2,1)))</x:f>
        <x:v>9</x:v>
      </x:c>
      <x:c r="F16" s="26" t="str">
        <x:v>BE-B</x:v>
      </x:c>
      <x:c r="G16" s="26" t="str">
        <x:v>S2</x:v>
      </x:c>
      <x:c r="H16" s="26" t="str">
        <x:v>只对可上限计费工具承诺硬预算</x:v>
      </x:c>
      <x:c r="I16" s="26" t="str">
        <x:v>上游不支持可验证上限</x:v>
      </x:c>
      <x:c r="J16" s="26" t="str">
        <x:v>开放</x:v>
      </x:c>
      <x:c r="K16" s="26" t="str"/>
    </x:row>
    <x:row r="17" ht="61" customHeight="1">
      <x:c r="A17" s="23" t="str">
        <x:v>R12</x:v>
      </x:c>
      <x:c r="B17" s="23" t="str">
        <x:v>人力／排期乐观</x:v>
      </x:c>
      <x:c r="C17" s="23" t="str">
        <x:v>中</x:v>
      </x:c>
      <x:c r="D17" s="23" t="str">
        <x:v>中</x:v>
      </x:c>
      <x:c r="E17" s="23" t="n">
        <x:f>IF(C17="高",3,IF(C17="中",2,1))*IF(D17="极高",4,IF(D17="高",3,IF(D17="中",2,1)))</x:f>
        <x:v>4</x:v>
      </x:c>
      <x:c r="F17" s="23" t="str">
        <x:v>PM</x:v>
      </x:c>
      <x:c r="G17" s="23" t="str">
        <x:v>S0</x:v>
      </x:c>
      <x:c r="H17" s="23" t="str">
        <x:v>按角色容量和 15% 工作量缓冲排期</x:v>
      </x:c>
      <x:c r="I17" s="23" t="str">
        <x:v>任一角色阶段负载&gt;100%</x:v>
      </x:c>
      <x:c r="J17" s="23" t="str">
        <x:v>开放</x:v>
      </x:c>
      <x:c r="K17" s="23" t="str"/>
    </x:row>
    <x:row r="18" ht="61" customHeight="1">
      <x:c r="A18" s="26" t="str">
        <x:v>R13</x:v>
      </x:c>
      <x:c r="B18" s="26" t="str">
        <x:v>目录质量低／误选工具</x:v>
      </x:c>
      <x:c r="C18" s="26" t="str">
        <x:v>中</x:v>
      </x:c>
      <x:c r="D18" s="26" t="str">
        <x:v>中</x:v>
      </x:c>
      <x:c r="E18" s="26" t="n">
        <x:f>IF(C18="高",3,IF(C18="中",2,1))*IF(D18="极高",4,IF(D18="高",3,IF(D18="中",2,1)))</x:f>
        <x:v>4</x:v>
      </x:c>
      <x:c r="F18" s="26" t="str">
        <x:v>PM</x:v>
      </x:c>
      <x:c r="G18" s="26" t="str">
        <x:v>S3</x:v>
      </x:c>
      <x:c r="H18" s="26" t="str">
        <x:v>小样本任务集、版本说明、价格与风险透明</x:v>
      </x:c>
      <x:c r="I18" s="26" t="str">
        <x:v>真实任务成功率持续偏低</x:v>
      </x:c>
      <x:c r="J18" s="26" t="str">
        <x:v>开放</x:v>
      </x:c>
      <x:c r="K18" s="26" t="str"/>
    </x:row>
    <x:row r="19" ht="61" customHeight="1">
      <x:c r="A19" s="23" t="str">
        <x:v>R14</x:v>
      </x:c>
      <x:c r="B19" s="23" t="str">
        <x:v>备份可用但恢复不可用</x:v>
      </x:c>
      <x:c r="C19" s="23" t="str">
        <x:v>中</x:v>
      </x:c>
      <x:c r="D19" s="23" t="str">
        <x:v>极高</x:v>
      </x:c>
      <x:c r="E19" s="23" t="n">
        <x:f>IF(C19="高",3,IF(C19="中",2,1))*IF(D19="极高",4,IF(D19="高",3,IF(D19="中",2,1)))</x:f>
        <x:v>8</x:v>
      </x:c>
      <x:c r="F19" s="23" t="str">
        <x:v>SRE</x:v>
      </x:c>
      <x:c r="G19" s="23" t="str">
        <x:v>S5</x:v>
      </x:c>
      <x:c r="H19" s="23" t="str">
        <x:v>带外部任务对账的恢复演练</x:v>
      </x:c>
      <x:c r="I19" s="23" t="str">
        <x:v>T35 不通过</x:v>
      </x:c>
      <x:c r="J19" s="23" t="str">
        <x:v>开放</x:v>
      </x:c>
      <x:c r="K19" s="23" t="str"/>
    </x:row>
    <x:row r="20" ht="61" customHeight="1">
      <x:c r="A20" s="26" t="str">
        <x:v>R15</x:v>
      </x:c>
      <x:c r="B20" s="26" t="str">
        <x:v>大结果、长任务拖垮系统</x:v>
      </x:c>
      <x:c r="C20" s="26" t="str">
        <x:v>高</x:v>
      </x:c>
      <x:c r="D20" s="26" t="str">
        <x:v>高</x:v>
      </x:c>
      <x:c r="E20" s="26" t="n">
        <x:f>IF(C20="高",3,IF(C20="中",2,1))*IF(D20="极高",4,IF(D20="高",3,IF(D20="中",2,1)))</x:f>
        <x:v>9</x:v>
      </x:c>
      <x:c r="F20" s="26" t="str">
        <x:v>BE-B</x:v>
      </x:c>
      <x:c r="G20" s="26" t="str">
        <x:v>S3</x:v>
      </x:c>
      <x:c r="H20" s="26" t="str">
        <x:v>产物存储、并发限额、背压、超时与队列分级</x:v>
      </x:c>
      <x:c r="I20" s="26" t="str">
        <x:v>对象／队列容量阈值超标</x:v>
      </x:c>
      <x:c r="J20" s="26" t="str">
        <x:v>开放</x:v>
      </x:c>
      <x:c r="K20" s="26" t="str"/>
    </x:row>
    <x:row r="21" ht="61" customHeight="1">
      <x:c r="A21" s="23" t="str">
        <x:v>R16</x:v>
      </x:c>
      <x:c r="B21" s="23" t="str">
        <x:v>管理权限过大</x:v>
      </x:c>
      <x:c r="C21" s="23" t="str">
        <x:v>中</x:v>
      </x:c>
      <x:c r="D21" s="23" t="str">
        <x:v>极高</x:v>
      </x:c>
      <x:c r="E21" s="23" t="n">
        <x:f>IF(C21="高",3,IF(C21="中",2,1))*IF(D21="极高",4,IF(D21="高",3,IF(D21="中",2,1)))</x:f>
        <x:v>8</x:v>
      </x:c>
      <x:c r="F21" s="23" t="str">
        <x:v>SRE</x:v>
      </x:c>
      <x:c r="G21" s="23" t="str">
        <x:v>S1</x:v>
      </x:c>
      <x:c r="H21" s="23" t="str">
        <x:v>独立 Admin、MFA、JIT、双人审批与审计</x:v>
      </x:c>
      <x:c r="I21" s="23" t="str">
        <x:v>支持人员长期全租户访问</x:v>
      </x:c>
      <x:c r="J21" s="23" t="str">
        <x:v>开放</x:v>
      </x:c>
      <x:c r="K21" s="23" t="str"/>
    </x:row>
    <x:row r="22" ht="61" customHeight="1">
      <x:c r="A22" s="26" t="str">
        <x:v>R17</x:v>
      </x:c>
      <x:c r="B22" s="26" t="str">
        <x:v>恢复后重复重放外部操作</x:v>
      </x:c>
      <x:c r="C22" s="26" t="str">
        <x:v>中</x:v>
      </x:c>
      <x:c r="D22" s="26" t="str">
        <x:v>极高</x:v>
      </x:c>
      <x:c r="E22" s="26" t="n">
        <x:f>IF(C22="高",3,IF(C22="中",2,1))*IF(D22="极高",4,IF(D22="高",3,IF(D22="中",2,1)))</x:f>
        <x:v>8</x:v>
      </x:c>
      <x:c r="F22" s="26" t="str">
        <x:v>BE-A</x:v>
      </x:c>
      <x:c r="G22" s="26" t="str">
        <x:v>S5</x:v>
      </x:c>
      <x:c r="H22" s="26" t="str">
        <x:v>恢复窗口任务先隔离对账，禁止盲重投</x:v>
      </x:c>
      <x:c r="I22" s="26" t="str">
        <x:v>数据库回档或恢复演练</x:v>
      </x:c>
      <x:c r="J22" s="26" t="str">
        <x:v>开放</x:v>
      </x:c>
      <x:c r="K22" s="26" t="str"/>
    </x:row>
    <x:row r="23" ht="61" customHeight="1">
      <x:c r="A23" s="23" t="str">
        <x:v>R18</x:v>
      </x:c>
      <x:c r="B23" s="23" t="str">
        <x:v>第三方数据与日志合规</x:v>
      </x:c>
      <x:c r="C23" s="23" t="str">
        <x:v>中</x:v>
      </x:c>
      <x:c r="D23" s="23" t="str">
        <x:v>高</x:v>
      </x:c>
      <x:c r="E23" s="23" t="n">
        <x:f>IF(C23="高",3,IF(C23="中",2,1))*IF(D23="极高",4,IF(D23="高",3,IF(D23="中",2,1)))</x:f>
        <x:v>6</x:v>
      </x:c>
      <x:c r="F23" s="23" t="str">
        <x:v>PM</x:v>
      </x:c>
      <x:c r="G23" s="23" t="str">
        <x:v>S0</x:v>
      </x:c>
      <x:c r="H23" s="23" t="str">
        <x:v>地域、保留、删除、授权范围须确认</x:v>
      </x:c>
      <x:c r="I23" s="23" t="str">
        <x:v>敏感数据去向不明确</x:v>
      </x:c>
      <x:c r="J23" s="23" t="str">
        <x:v>开放</x:v>
      </x:c>
      <x:c r="K23" s="23" t="str"/>
    </x:row>
  </x:sheetData>
  <x:mergeCells>
    <x:mergeCell ref="A1:K1"/>
    <x:mergeCell ref="A2:K3"/>
  </x:mergeCells>
  <x:conditionalFormatting sqref="E6:E23">
    <x:cfRule type="cellIs" dxfId="5" priority="1" operator="greaterThanOrEqual">
      <x:formula>8</x:formula>
    </x:cfRule>
  </x:conditionalFormatting>
  <x:dataValidations count="3">
    <x:dataValidation type="list" sqref="C6:C23">
      <x:formula1>"低,中,高"</x:formula1>
    </x:dataValidation>
    <x:dataValidation type="list" sqref="D6:D23">
      <x:formula1>"低,中,高,极高"</x:formula1>
    </x:dataValidation>
    <x:dataValidation type="list" sqref="J6:J23">
      <x:formula1>"开放,处理中,已缓解,已关闭,已接受（批准）"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cbf85dcaa1474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63" hidden="0" customWidth="1"/>
    <x:col min="4" max="4" width="54" hidden="0" customWidth="1"/>
    <x:col min="5" max="5" width="13" hidden="0" customWidth="1"/>
    <x:col min="6" max="6" width="13" hidden="0" customWidth="1"/>
    <x:col min="7" max="7" width="14" hidden="0" customWidth="1"/>
    <x:col min="8" max="8" width="26" hidden="0" customWidth="1"/>
    <x:col min="9" max="9" width="40" hidden="0" customWidth="1"/>
  </x:cols>
  <x:sheetData>
    <x:row r="1" ht="34" customHeight="1">
      <x:c r="A1" s="5" t="str">
        <x:v>MCPX / 架构决策登记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10" t="str">
        <x:v>本表中的决策为建议状态，须经团队评审后填写批准人与日期。触发条件出现时重新评审，不直接在实现中悄悄改掉已发布合同。</x:v>
      </x:c>
      <x:c r="B2" s="10"/>
      <x:c r="C2" s="10"/>
      <x:c r="D2" s="10"/>
      <x:c r="E2" s="10"/>
      <x:c r="F2" s="10"/>
      <x:c r="G2" s="10"/>
      <x:c r="H2" s="10"/>
      <x:c r="I2" s="10"/>
    </x:row>
    <x:row r="3" ht="22" customHeight="1">
      <x:c r="A3" s="10"/>
      <x:c r="B3" s="10"/>
      <x:c r="C3" s="10"/>
      <x:c r="D3" s="10"/>
      <x:c r="E3" s="10"/>
      <x:c r="F3" s="10"/>
      <x:c r="G3" s="10"/>
      <x:c r="H3" s="10"/>
      <x:c r="I3" s="10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0" customHeight="1">
      <x:c r="A5" s="17" t="str">
        <x:v>ADR编号</x:v>
      </x:c>
      <x:c r="B5" s="17" t="str">
        <x:v>建议决策</x:v>
      </x:c>
      <x:c r="C5" s="17" t="str">
        <x:v>理由</x:v>
      </x:c>
      <x:c r="D5" s="17" t="str">
        <x:v>复议触发</x:v>
      </x:c>
      <x:c r="E5" s="17" t="str">
        <x:v>确认阶段</x:v>
      </x:c>
      <x:c r="F5" s="17" t="str">
        <x:v>设计章节</x:v>
      </x:c>
      <x:c r="G5" s="17" t="str">
        <x:v>状态</x:v>
      </x:c>
      <x:c r="H5" s="17" t="str">
        <x:v>批准人/日期</x:v>
      </x:c>
      <x:c r="I5" s="17" t="str">
        <x:v>后续决定</x:v>
      </x:c>
    </x:row>
    <x:row r="6" ht="72" customHeight="1">
      <x:c r="A6" s="26" t="str">
        <x:v>ADR-001</x:v>
      </x:c>
      <x:c r="B6" s="26" t="str">
        <x:v>模块化单体＋独立 Worker</x:v>
      </x:c>
      <x:c r="C6" s="26" t="str">
        <x:v>同库事务确保 Run／预留／任务原子提交，先不拆微服务</x:v>
      </x:c>
      <x:c r="D6" s="26" t="str">
        <x:v>流量、团队或隔离证据要求独立扩缩容</x:v>
      </x:c>
      <x:c r="E6" s="26" t="str">
        <x:v>S0</x:v>
      </x:c>
      <x:c r="F6" s="26" t="str">
        <x:v>A02</x:v>
      </x:c>
      <x:c r="G6" s="26" t="str">
        <x:v>建议</x:v>
      </x:c>
      <x:c r="H6" s="26" t="str"/>
      <x:c r="I6" s="26" t="str"/>
    </x:row>
    <x:row r="7" ht="72" customHeight="1">
      <x:c r="A7" s="23" t="str">
        <x:v>ADR-002</x:v>
      </x:c>
      <x:c r="B7" s="23" t="str">
        <x:v>三维能力抽象</x:v>
      </x:c>
      <x:c r="C7" s="23" t="str">
        <x:v>来源适配器、执行运行时、分发协议彼此解耦</x:v>
      </x:c>
      <x:c r="D7" s="23" t="str">
        <x:v>出现不能由现有合同表示的真实能力</x:v>
      </x:c>
      <x:c r="E7" s="23" t="str">
        <x:v>S0</x:v>
      </x:c>
      <x:c r="F7" s="23" t="str">
        <x:v>A04</x:v>
      </x:c>
      <x:c r="G7" s="23" t="str">
        <x:v>建议</x:v>
      </x:c>
      <x:c r="H7" s="23" t="str"/>
      <x:c r="I7" s="23" t="str"/>
    </x:row>
    <x:row r="8" ht="72" customHeight="1">
      <x:c r="A8" s="26" t="str">
        <x:v>ADR-003</x:v>
      </x:c>
      <x:c r="B8" s="26" t="str">
        <x:v>声明式插件优先</x:v>
      </x:c>
      <x:c r="C8" s="26" t="str">
        <x:v>多数 HTTP 工具不需要执行供应商代码；降低准入成本</x:v>
      </x:c>
      <x:c r="D8" s="26" t="str">
        <x:v>明确的转换／签名需求超出支持子集</x:v>
      </x:c>
      <x:c r="E8" s="26" t="str">
        <x:v>S0</x:v>
      </x:c>
      <x:c r="F8" s="26" t="str">
        <x:v>A09</x:v>
      </x:c>
      <x:c r="G8" s="26" t="str">
        <x:v>建议</x:v>
      </x:c>
      <x:c r="H8" s="26" t="str"/>
      <x:c r="I8" s="26" t="str"/>
    </x:row>
    <x:row r="9" ht="72" customHeight="1">
      <x:c r="A9" s="23" t="str">
        <x:v>ADR-004</x:v>
      </x:c>
      <x:c r="B9" s="23" t="str">
        <x:v>不使用 Go .so 作主插件</x:v>
      </x:c>
      <x:c r="C9" s="23" t="str">
        <x:v>避免卸载、构建一致性与可移植性约束</x:v>
      </x:c>
      <x:c r="D9" s="23" t="str">
        <x:v>封闭同版本构建场景经单独评审</x:v>
      </x:c>
      <x:c r="E9" s="23" t="str">
        <x:v>S0</x:v>
      </x:c>
      <x:c r="F9" s="23" t="str">
        <x:v>A09</x:v>
      </x:c>
      <x:c r="G9" s="23" t="str">
        <x:v>建议</x:v>
      </x:c>
      <x:c r="H9" s="23" t="str"/>
      <x:c r="I9" s="23" t="str"/>
    </x:row>
    <x:row r="10" ht="72" customHeight="1">
      <x:c r="A10" s="26" t="str">
        <x:v>ADR-005</x:v>
      </x:c>
      <x:c r="B10" s="26" t="str">
        <x:v>固定工具集与动态发现并存</x:v>
      </x:c>
      <x:c r="C10" s="26" t="str">
        <x:v>兼顾确定性权限和大目录按需发现</x:v>
      </x:c>
      <x:c r="D10" s="26" t="str">
        <x:v>客户端能力或用户任务数据要求调整</x:v>
      </x:c>
      <x:c r="E10" s="26" t="str">
        <x:v>S0</x:v>
      </x:c>
      <x:c r="F10" s="26" t="str">
        <x:v>A07</x:v>
      </x:c>
      <x:c r="G10" s="26" t="str">
        <x:v>建议</x:v>
      </x:c>
      <x:c r="H10" s="26" t="str"/>
      <x:c r="I10" s="26" t="str"/>
    </x:row>
    <x:row r="11" ht="72" customHeight="1">
      <x:c r="A11" s="23" t="str">
        <x:v>ADR-006</x:v>
      </x:c>
      <x:c r="B11" s="23" t="str">
        <x:v>协议与业务任务解耦</x:v>
      </x:c>
      <x:c r="C11" s="23" t="str">
        <x:v>MCP 会话／请求取消不等同持久 Run 的全部生命周期</x:v>
      </x:c>
      <x:c r="D11" s="23" t="str">
        <x:v>新增协议要求无法映射现有 Run</x:v>
      </x:c>
      <x:c r="E11" s="23" t="str">
        <x:v>S0</x:v>
      </x:c>
      <x:c r="F11" s="23" t="str">
        <x:v>A07</x:v>
      </x:c>
      <x:c r="G11" s="23" t="str">
        <x:v>建议</x:v>
      </x:c>
      <x:c r="H11" s="23" t="str"/>
      <x:c r="I11" s="23" t="str"/>
    </x:row>
    <x:row r="12" ht="72" customHeight="1">
      <x:c r="A12" s="26" t="str">
        <x:v>ADR-007</x:v>
      </x:c>
      <x:c r="B12" s="26" t="str">
        <x:v>版本不可变＋路由快照</x:v>
      </x:c>
      <x:c r="C12" s="26" t="str">
        <x:v>保证可复现调用、审计、灰度与回退</x:v>
      </x:c>
      <x:c r="D12" s="26" t="str">
        <x:v>不可变制品存储成本或监管要求变化</x:v>
      </x:c>
      <x:c r="E12" s="26" t="str">
        <x:v>S0</x:v>
      </x:c>
      <x:c r="F12" s="26" t="str">
        <x:v>A04</x:v>
      </x:c>
      <x:c r="G12" s="26" t="str">
        <x:v>建议</x:v>
      </x:c>
      <x:c r="H12" s="26" t="str"/>
      <x:c r="I12" s="26" t="str"/>
    </x:row>
    <x:row r="13" ht="72" customHeight="1">
      <x:c r="A13" s="23" t="str">
        <x:v>ADR-008</x:v>
      </x:c>
      <x:c r="B13" s="23" t="str">
        <x:v>PostgreSQL 为业务与资金真源</x:v>
      </x:c>
      <x:c r="C13" s="23" t="str">
        <x:v>预留、账本、幂等与任务创建需要原子性</x:v>
      </x:c>
      <x:c r="D13" s="23" t="str">
        <x:v>热点账户经实测超出单库能力</x:v>
      </x:c>
      <x:c r="E13" s="23" t="str">
        <x:v>S0</x:v>
      </x:c>
      <x:c r="F13" s="23" t="str">
        <x:v>A11</x:v>
      </x:c>
      <x:c r="G13" s="23" t="str">
        <x:v>建议</x:v>
      </x:c>
      <x:c r="H13" s="23" t="str"/>
      <x:c r="I13" s="23" t="str"/>
    </x:row>
    <x:row r="14" ht="72" customHeight="1">
      <x:c r="A14" s="26" t="str">
        <x:v>ADR-009</x:v>
      </x:c>
      <x:c r="B14" s="26" t="str">
        <x:v>SQL 任务表与 Outbox 起步</x:v>
      </x:c>
      <x:c r="C14" s="26" t="str">
        <x:v>避免首发引入多个消息系统；保留事件接口</x:v>
      </x:c>
      <x:c r="D14" s="26" t="str">
        <x:v>队列等待或锁争用持续超阈值</x:v>
      </x:c>
      <x:c r="E14" s="26" t="str">
        <x:v>S0</x:v>
      </x:c>
      <x:c r="F14" s="26" t="str">
        <x:v>A05</x:v>
      </x:c>
      <x:c r="G14" s="26" t="str">
        <x:v>建议</x:v>
      </x:c>
      <x:c r="H14" s="26" t="str"/>
      <x:c r="I14" s="26" t="str"/>
    </x:row>
    <x:row r="15" ht="72" customHeight="1">
      <x:c r="A15" s="23" t="str">
        <x:v>ADR-010</x:v>
      </x:c>
      <x:c r="B15" s="23" t="str">
        <x:v>未知上游结果先对账</x:v>
      </x:c>
      <x:c r="C15" s="23" t="str">
        <x:v>不以自动重试掩盖不确定副作用</x:v>
      </x:c>
      <x:c r="D15" s="23" t="str">
        <x:v>上游新增可靠幂等或查询合同</x:v>
      </x:c>
      <x:c r="E15" s="23" t="str">
        <x:v>S0</x:v>
      </x:c>
      <x:c r="F15" s="23" t="str">
        <x:v>A05</x:v>
      </x:c>
      <x:c r="G15" s="23" t="str">
        <x:v>建议</x:v>
      </x:c>
      <x:c r="H15" s="23" t="str"/>
      <x:c r="I15" s="23" t="str"/>
    </x:row>
    <x:row r="16" ht="72" customHeight="1">
      <x:c r="A16" s="26" t="str">
        <x:v>ADR-011</x:v>
      </x:c>
      <x:c r="B16" s="26" t="str">
        <x:v>浏览器会话与机器凭据分离</x:v>
      </x:c>
      <x:c r="C16" s="26" t="str">
        <x:v>浏览器用受保护 Cookie，Agent 使用受限令牌／Key</x:v>
      </x:c>
      <x:c r="D16" s="26" t="str">
        <x:v>客户端与授权服务器条件改变</x:v>
      </x:c>
      <x:c r="E16" s="26" t="str">
        <x:v>S1</x:v>
      </x:c>
      <x:c r="F16" s="26" t="str">
        <x:v>A10</x:v>
      </x:c>
      <x:c r="G16" s="26" t="str">
        <x:v>建议</x:v>
      </x:c>
      <x:c r="H16" s="26" t="str"/>
      <x:c r="I16" s="26" t="str"/>
    </x:row>
    <x:row r="17" ht="72" customHeight="1">
      <x:c r="A17" s="23" t="str">
        <x:v>ADR-012</x:v>
      </x:c>
      <x:c r="B17" s="23" t="str">
        <x:v>React Router Data Mode</x:v>
      </x:c>
      <x:c r="C17" s="23" t="str">
        <x:v>SPA 与独立 Go 后端保持清晰职责</x:v>
      </x:c>
      <x:c r="D17" s="23" t="str">
        <x:v>公开页面 SEO 或 SSR 需求成立</x:v>
      </x:c>
      <x:c r="E17" s="23" t="str">
        <x:v>S1</x:v>
      </x:c>
      <x:c r="F17" s="23" t="str">
        <x:v>A14</x:v>
      </x:c>
      <x:c r="G17" s="23" t="str">
        <x:v>建议</x:v>
      </x:c>
      <x:c r="H17" s="23" t="str"/>
      <x:c r="I17" s="23" t="str"/>
    </x:row>
    <x:row r="18" ht="72" customHeight="1">
      <x:c r="A18" s="26" t="str">
        <x:v>ADR-013</x:v>
      </x:c>
      <x:c r="B18" s="26" t="str">
        <x:v>配置 Schema 驱动插件 UI</x:v>
      </x:c>
      <x:c r="C18" s="26" t="str">
        <x:v>首发不加载第三方远程 JS 到主控制台</x:v>
      </x:c>
      <x:c r="D18" s="26" t="str">
        <x:v>真实插件 UI 需求经隔离方案评审</x:v>
      </x:c>
      <x:c r="E18" s="26" t="str">
        <x:v>S1</x:v>
      </x:c>
      <x:c r="F18" s="26" t="str">
        <x:v>A14</x:v>
      </x:c>
      <x:c r="G18" s="26" t="str">
        <x:v>建议</x:v>
      </x:c>
      <x:c r="H18" s="26" t="str"/>
      <x:c r="I18" s="26" t="str"/>
    </x:row>
    <x:row r="19" ht="72" customHeight="1">
      <x:c r="A19" s="23" t="str">
        <x:v>ADR-014</x:v>
      </x:c>
      <x:c r="B19" s="23" t="str">
        <x:v>远程 Agent 优先于代码托管</x:v>
      </x:c>
      <x:c r="C19" s="23" t="str">
        <x:v>先完成任务合同与分发，不造通用 Agent 云</x:v>
      </x:c>
      <x:c r="D19" s="23" t="str">
        <x:v>托管需求有付费验证且隔离测试通过</x:v>
      </x:c>
      <x:c r="E19" s="23" t="str">
        <x:v>S3</x:v>
      </x:c>
      <x:c r="F19" s="23" t="str">
        <x:v>A08</x:v>
      </x:c>
      <x:c r="G19" s="23" t="str">
        <x:v>建议</x:v>
      </x:c>
      <x:c r="H19" s="23" t="str"/>
      <x:c r="I19" s="23" t="str"/>
    </x:row>
    <x:row r="20" ht="72" customHeight="1">
      <x:c r="A20" s="26" t="str">
        <x:v>ADR-015</x:v>
      </x:c>
      <x:c r="B20" s="26" t="str">
        <x:v>资金、预算与供应商成本分离</x:v>
      </x:c>
      <x:c r="C20" s="26" t="str">
        <x:v>消费额度不是会计利润；退款和成本各自留事实</x:v>
      </x:c>
      <x:c r="D20" s="26" t="str">
        <x:v>商业计价或结算模式变化</x:v>
      </x:c>
      <x:c r="E20" s="26" t="str">
        <x:v>S2</x:v>
      </x:c>
      <x:c r="F20" s="26" t="str">
        <x:v>A11</x:v>
      </x:c>
      <x:c r="G20" s="26" t="str">
        <x:v>建议</x:v>
      </x:c>
      <x:c r="H20" s="26" t="str"/>
      <x:c r="I20" s="26" t="str"/>
    </x:row>
    <x:row r="21" ht="72" customHeight="1">
      <x:c r="A21" s="23" t="str">
        <x:v>ADR-016</x:v>
      </x:c>
      <x:c r="B21" s="23" t="str">
        <x:v>运行时扩展独立准入</x:v>
      </x:c>
      <x:c r="C21" s="23" t="str">
        <x:v>进程、容器、WASM 分场景验证，不全量首发</x:v>
      </x:c>
      <x:c r="D21" s="23" t="str">
        <x:v>S6 风险、资源和商业门槛均满足</x:v>
      </x:c>
      <x:c r="E21" s="23" t="str">
        <x:v>S4</x:v>
      </x:c>
      <x:c r="F21" s="23" t="str">
        <x:v>A09</x:v>
      </x:c>
      <x:c r="G21" s="23" t="str">
        <x:v>建议</x:v>
      </x:c>
      <x:c r="H21" s="23" t="str"/>
      <x:c r="I21" s="23" t="str"/>
    </x:row>
    <x:row r="22" ht="68" customHeight="1">
      <x:c r="A22" s="107" t="str">
        <x:v>ADR-017</x:v>
      </x:c>
      <x:c r="B22" s="107" t="str">
        <x:v>前端统一 pnpm workspace</x:v>
      </x:c>
      <x:c r="C22" s="107" t="str">
        <x:v>用户确定约束；单锁文件、workspace:、固定工具链与冻结安装</x:v>
      </x:c>
      <x:c r="D22" s="107" t="str">
        <x:v>主版本升级需兼容验证；不得自行切换包管理器</x:v>
      </x:c>
      <x:c r="E22" s="107" t="str">
        <x:v>S0</x:v>
      </x:c>
      <x:c r="F22" s="107" t="str">
        <x:v>A14;G06</x:v>
      </x:c>
      <x:c r="G22" s="107" t="str">
        <x:v>用户约束</x:v>
      </x:c>
      <x:c r="H22" s="107"/>
      <x:c r="I22" s="107" t="str">
        <x:v>方法已确定；具体版本与边界须 G0 确认</x:v>
      </x:c>
    </x:row>
    <x:row r="23" ht="68" customHeight="1">
      <x:c r="A23" s="107" t="str">
        <x:v>ADR-018</x:v>
      </x:c>
      <x:c r="B23" s="107" t="str">
        <x:v>DDD 先上下文后分层</x:v>
      </x:c>
      <x:c r="C23" s="107" t="str">
        <x:v>用户确定 DDD 方法；八个候选上下文、统一语言与所有权在 G0 冻结</x:v>
      </x:c>
      <x:c r="D23" s="107" t="str">
        <x:v>业务语言、协作团队或事务不变量出现实质变化</x:v>
      </x:c>
      <x:c r="E23" s="107" t="str">
        <x:v>S0</x:v>
      </x:c>
      <x:c r="F23" s="107" t="str">
        <x:v>A03;G01;G02</x:v>
      </x:c>
      <x:c r="G23" s="107" t="str">
        <x:v>用户约束</x:v>
      </x:c>
      <x:c r="H23" s="107"/>
      <x:c r="I23" s="107" t="str">
        <x:v>方法已确定；具体版本与边界须 G0 确认</x:v>
      </x:c>
    </x:row>
    <x:row r="24" ht="68" customHeight="1">
      <x:c r="A24" s="107" t="str">
        <x:v>ADR-019</x:v>
      </x:c>
      <x:c r="B24" s="107" t="str">
        <x:v>清洁架构＋依赖倒置</x:v>
      </x:c>
      <x:c r="C24" s="107" t="str">
        <x:v>用户确定约束；消费方端口、构造注入和显式 Composition Root</x:v>
      </x:c>
      <x:c r="D24" s="107" t="str">
        <x:v>例外须明确范围、责任人、退出计划且不得绕过安全资金</x:v>
      </x:c>
      <x:c r="E24" s="107" t="str">
        <x:v>S0</x:v>
      </x:c>
      <x:c r="F24" s="107" t="str">
        <x:v>A03;G04;G07</x:v>
      </x:c>
      <x:c r="G24" s="107" t="str">
        <x:v>用户约束</x:v>
      </x:c>
      <x:c r="H24" s="107"/>
      <x:c r="I24" s="107" t="str">
        <x:v>方法已确定；具体版本与边界须 G0 确认</x:v>
      </x:c>
    </x:row>
    <x:row r="25" ht="68" customHeight="1">
      <x:c r="A25" s="107" t="str">
        <x:v>ADR-020</x:v>
      </x:c>
      <x:c r="B25" s="107" t="str">
        <x:v>受控跨上下文同库事务</x:v>
      </x:c>
      <x:c r="C25" s="107" t="str">
        <x:v>建议保留原有原子受理不变量；在基础设施装配事务作用域服务而不泄露 SQL 到内层</x:v>
      </x:c>
      <x:c r="D25" s="107" t="str">
        <x:v>拆库／拆服务前必须改为可恢复协调并证明预算不变量</x:v>
      </x:c>
      <x:c r="E25" s="107" t="str">
        <x:v>S0</x:v>
      </x:c>
      <x:c r="F25" s="107" t="str">
        <x:v>A05;G05</x:v>
      </x:c>
      <x:c r="G25" s="107" t="str">
        <x:v>建议</x:v>
      </x:c>
      <x:c r="H25" s="107"/>
      <x:c r="I25" s="107" t="str">
        <x:v>须明确批准同库耦合及退出方案</x:v>
      </x:c>
    </x:row>
  </x:sheetData>
  <x:mergeCells>
    <x:mergeCell ref="A1:I1"/>
    <x:mergeCell ref="A2:I3"/>
  </x:mergeCells>
  <x:dataValidations count="2">
    <x:dataValidation type="list" sqref="G6:G21">
      <x:formula1>"建议,评审中,接受,拒绝,被替代"</x:formula1>
    </x:dataValidation>
    <x:dataValidation type="list" sqref="G6:G25">
      <x:formula1>"建议,用户约束,已批准,已拒绝,已废弃"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f458ca68464d5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77" hidden="0" customWidth="1"/>
    <x:col min="4" max="4" width="14" hidden="0" customWidth="1"/>
    <x:col min="5" max="5" width="11" hidden="0" customWidth="1"/>
    <x:col min="6" max="6" width="28" hidden="0" customWidth="1"/>
    <x:col min="7" max="7" width="15" hidden="0" customWidth="1"/>
    <x:col min="8" max="8" width="40" hidden="0" customWidth="1"/>
    <x:col min="9" max="9" width="36" hidden="0" customWidth="1"/>
  </x:cols>
  <x:sheetData>
    <x:row r="1" ht="34" customHeight="1">
      <x:c r="A1" s="5" t="str">
        <x:v>MCPX / Go–No-Go 放行清单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10" t="str">
        <x:v>任一强制项未通过即不放行；真实支付及商业供给的条件项在启用对应范围时强制。这里只提供检查条目，不预填签署、结果或证据。</x:v>
      </x:c>
      <x:c r="B2" s="10"/>
      <x:c r="C2" s="10"/>
      <x:c r="D2" s="10"/>
      <x:c r="E2" s="10"/>
      <x:c r="F2" s="10"/>
      <x:c r="G2" s="10"/>
      <x:c r="H2" s="10"/>
      <x:c r="I2" s="10"/>
    </x:row>
    <x:row r="3" ht="22" customHeight="1">
      <x:c r="A3" s="10"/>
      <x:c r="B3" s="10"/>
      <x:c r="C3" s="10"/>
      <x:c r="D3" s="10"/>
      <x:c r="E3" s="10"/>
      <x:c r="F3" s="10"/>
      <x:c r="G3" s="10"/>
      <x:c r="H3" s="10"/>
      <x:c r="I3" s="10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0" customHeight="1">
      <x:c r="A5" s="17" t="str">
        <x:v>检查ID</x:v>
      </x:c>
      <x:c r="B5" s="17" t="str">
        <x:v>类别</x:v>
      </x:c>
      <x:c r="C5" s="17" t="str">
        <x:v>放行条件</x:v>
      </x:c>
      <x:c r="D5" s="17" t="str">
        <x:v>责任角色</x:v>
      </x:c>
      <x:c r="E5" s="17" t="str">
        <x:v>门禁</x:v>
      </x:c>
      <x:c r="F5" s="17" t="str">
        <x:v>适用性</x:v>
      </x:c>
      <x:c r="G5" s="17" t="str">
        <x:v>结果</x:v>
      </x:c>
      <x:c r="H5" s="17" t="str">
        <x:v>证据</x:v>
      </x:c>
      <x:c r="I5" s="17" t="str">
        <x:v>批准/备注</x:v>
      </x:c>
    </x:row>
    <x:row r="6" ht="62" customHeight="1">
      <x:c r="A6" s="26" t="str">
        <x:v>L01</x:v>
      </x:c>
      <x:c r="B6" s="26" t="str">
        <x:v>范围</x:v>
      </x:c>
      <x:c r="C6" s="26" t="str">
        <x:v>首发能力、未交付项、已支持客户端清单已签署</x:v>
      </x:c>
      <x:c r="D6" s="26" t="str">
        <x:v>PM</x:v>
      </x:c>
      <x:c r="E6" s="26" t="str">
        <x:v>G5</x:v>
      </x:c>
      <x:c r="F6" s="26" t="str">
        <x:v>强制</x:v>
      </x:c>
      <x:c r="G6" s="26" t="str">
        <x:v>未检查</x:v>
      </x:c>
      <x:c r="H6" s="26" t="str"/>
      <x:c r="I6" s="26" t="str"/>
    </x:row>
    <x:row r="7" ht="62" customHeight="1">
      <x:c r="A7" s="23" t="str">
        <x:v>L02</x:v>
      </x:c>
      <x:c r="B7" s="23" t="str">
        <x:v>隔离</x:v>
      </x:c>
      <x:c r="C7" s="23" t="str">
        <x:v>跨租户、搜索、缓存、队列与产物负向测试通过</x:v>
      </x:c>
      <x:c r="D7" s="23" t="str">
        <x:v>QA</x:v>
      </x:c>
      <x:c r="E7" s="23" t="str">
        <x:v>G5</x:v>
      </x:c>
      <x:c r="F7" s="23" t="str">
        <x:v>强制</x:v>
      </x:c>
      <x:c r="G7" s="23" t="str">
        <x:v>未检查</x:v>
      </x:c>
      <x:c r="H7" s="23" t="str"/>
      <x:c r="I7" s="23" t="str"/>
    </x:row>
    <x:row r="8" ht="62" customHeight="1">
      <x:c r="A8" s="26" t="str">
        <x:v>L03</x:v>
      </x:c>
      <x:c r="B8" s="26" t="str">
        <x:v>秘密</x:v>
      </x:c>
      <x:c r="C8" s="26" t="str">
        <x:v>密钥、OAuth token、认证头不出现在日志和制品中</x:v>
      </x:c>
      <x:c r="D8" s="26" t="str">
        <x:v>SRE</x:v>
      </x:c>
      <x:c r="E8" s="26" t="str">
        <x:v>G5</x:v>
      </x:c>
      <x:c r="F8" s="26" t="str">
        <x:v>强制</x:v>
      </x:c>
      <x:c r="G8" s="26" t="str">
        <x:v>未检查</x:v>
      </x:c>
      <x:c r="H8" s="26" t="str"/>
      <x:c r="I8" s="26" t="str"/>
    </x:row>
    <x:row r="9" ht="62" customHeight="1">
      <x:c r="A9" s="23" t="str">
        <x:v>L04</x:v>
      </x:c>
      <x:c r="B9" s="23" t="str">
        <x:v>出口</x:v>
      </x:c>
      <x:c r="C9" s="23" t="str">
        <x:v>SSRF、重定向、IPv6、DNS 变化和元数据地址防护通过</x:v>
      </x:c>
      <x:c r="D9" s="23" t="str">
        <x:v>SRE</x:v>
      </x:c>
      <x:c r="E9" s="23" t="str">
        <x:v>G5</x:v>
      </x:c>
      <x:c r="F9" s="23" t="str">
        <x:v>强制</x:v>
      </x:c>
      <x:c r="G9" s="23" t="str">
        <x:v>未检查</x:v>
      </x:c>
      <x:c r="H9" s="23" t="str"/>
      <x:c r="I9" s="23" t="str"/>
    </x:row>
    <x:row r="10" ht="62" customHeight="1">
      <x:c r="A10" s="26" t="str">
        <x:v>L05</x:v>
      </x:c>
      <x:c r="B10" s="26" t="str">
        <x:v>资金</x:v>
      </x:c>
      <x:c r="C10" s="26" t="str">
        <x:v>预留、结算、退款业务键与账本守恒测试通过</x:v>
      </x:c>
      <x:c r="D10" s="26" t="str">
        <x:v>BE-A</x:v>
      </x:c>
      <x:c r="E10" s="26" t="str">
        <x:v>G5</x:v>
      </x:c>
      <x:c r="F10" s="26" t="str">
        <x:v>强制</x:v>
      </x:c>
      <x:c r="G10" s="26" t="str">
        <x:v>未检查</x:v>
      </x:c>
      <x:c r="H10" s="26" t="str"/>
      <x:c r="I10" s="26" t="str"/>
    </x:row>
    <x:row r="11" ht="62" customHeight="1">
      <x:c r="A11" s="23" t="str">
        <x:v>L06</x:v>
      </x:c>
      <x:c r="B11" s="23" t="str">
        <x:v>资金</x:v>
      </x:c>
      <x:c r="C11" s="23" t="str">
        <x:v>所有账差已解释并关闭；无未审手工余额修改</x:v>
      </x:c>
      <x:c r="D11" s="23" t="str">
        <x:v>BE-A</x:v>
      </x:c>
      <x:c r="E11" s="23" t="str">
        <x:v>G5</x:v>
      </x:c>
      <x:c r="F11" s="23" t="str">
        <x:v>强制</x:v>
      </x:c>
      <x:c r="G11" s="23" t="str">
        <x:v>未检查</x:v>
      </x:c>
      <x:c r="H11" s="23" t="str"/>
      <x:c r="I11" s="23" t="str"/>
    </x:row>
    <x:row r="12" ht="62" customHeight="1">
      <x:c r="A12" s="26" t="str">
        <x:v>L07</x:v>
      </x:c>
      <x:c r="B12" s="26" t="str">
        <x:v>执行</x:v>
      </x:c>
      <x:c r="C12" s="26" t="str">
        <x:v>未知上游结果不会盲重试或自动放款</x:v>
      </x:c>
      <x:c r="D12" s="26" t="str">
        <x:v>BE-B</x:v>
      </x:c>
      <x:c r="E12" s="26" t="str">
        <x:v>G5</x:v>
      </x:c>
      <x:c r="F12" s="26" t="str">
        <x:v>强制</x:v>
      </x:c>
      <x:c r="G12" s="26" t="str">
        <x:v>未检查</x:v>
      </x:c>
      <x:c r="H12" s="26" t="str"/>
      <x:c r="I12" s="26" t="str"/>
    </x:row>
    <x:row r="13" ht="62" customHeight="1">
      <x:c r="A13" s="23" t="str">
        <x:v>L08</x:v>
      </x:c>
      <x:c r="B13" s="23" t="str">
        <x:v>执行</x:v>
      </x:c>
      <x:c r="C13" s="23" t="str">
        <x:v>Worker 崩溃、租约过期和重复回调测试通过</x:v>
      </x:c>
      <x:c r="D13" s="23" t="str">
        <x:v>QA</x:v>
      </x:c>
      <x:c r="E13" s="23" t="str">
        <x:v>G5</x:v>
      </x:c>
      <x:c r="F13" s="23" t="str">
        <x:v>强制</x:v>
      </x:c>
      <x:c r="G13" s="23" t="str">
        <x:v>未检查</x:v>
      </x:c>
      <x:c r="H13" s="23" t="str"/>
      <x:c r="I13" s="23" t="str"/>
    </x:row>
    <x:row r="14" ht="62" customHeight="1">
      <x:c r="A14" s="26" t="str">
        <x:v>L09</x:v>
      </x:c>
      <x:c r="B14" s="26" t="str">
        <x:v>协议</x:v>
      </x:c>
      <x:c r="C14" s="26" t="str">
        <x:v>选定 MCP 版本和客户端矩阵通过，未支持功能不宣称</x:v>
      </x:c>
      <x:c r="D14" s="26" t="str">
        <x:v>BE-B</x:v>
      </x:c>
      <x:c r="E14" s="26" t="str">
        <x:v>G5</x:v>
      </x:c>
      <x:c r="F14" s="26" t="str">
        <x:v>强制</x:v>
      </x:c>
      <x:c r="G14" s="26" t="str">
        <x:v>未检查</x:v>
      </x:c>
      <x:c r="H14" s="26" t="str"/>
      <x:c r="I14" s="26" t="str"/>
    </x:row>
    <x:row r="15" ht="62" customHeight="1">
      <x:c r="A15" s="23" t="str">
        <x:v>L10</x:v>
      </x:c>
      <x:c r="B15" s="23" t="str">
        <x:v>协议</x:v>
      </x:c>
      <x:c r="C15" s="23" t="str">
        <x:v>同步取消与显式异步 Run 的差异已验证</x:v>
      </x:c>
      <x:c r="D15" s="23" t="str">
        <x:v>QA</x:v>
      </x:c>
      <x:c r="E15" s="23" t="str">
        <x:v>G5</x:v>
      </x:c>
      <x:c r="F15" s="23" t="str">
        <x:v>强制</x:v>
      </x:c>
      <x:c r="G15" s="23" t="str">
        <x:v>未检查</x:v>
      </x:c>
      <x:c r="H15" s="23" t="str"/>
      <x:c r="I15" s="23" t="str"/>
    </x:row>
    <x:row r="16" ht="62" customHeight="1">
      <x:c r="A16" s="26" t="str">
        <x:v>L11</x:v>
      </x:c>
      <x:c r="B16" s="26" t="str">
        <x:v>授权</x:v>
      </x:c>
      <x:c r="C16" s="26" t="str">
        <x:v>Key 撤销、OAuth 刷新竞争与 Connection 失效可处理</x:v>
      </x:c>
      <x:c r="D16" s="26" t="str">
        <x:v>BE-A</x:v>
      </x:c>
      <x:c r="E16" s="26" t="str">
        <x:v>G5</x:v>
      </x:c>
      <x:c r="F16" s="26" t="str">
        <x:v>强制</x:v>
      </x:c>
      <x:c r="G16" s="26" t="str">
        <x:v>未检查</x:v>
      </x:c>
      <x:c r="H16" s="26" t="str"/>
      <x:c r="I16" s="26" t="str"/>
    </x:row>
    <x:row r="17" ht="62" customHeight="1">
      <x:c r="A17" s="23" t="str">
        <x:v>L12</x:v>
      </x:c>
      <x:c r="B17" s="23" t="str">
        <x:v>审批</x:v>
      </x:c>
      <x:c r="C17" s="23" t="str">
        <x:v>危险动作审批不能被参数／版本变化或模型字段绕过</x:v>
      </x:c>
      <x:c r="D17" s="23" t="str">
        <x:v>QA</x:v>
      </x:c>
      <x:c r="E17" s="23" t="str">
        <x:v>G5</x:v>
      </x:c>
      <x:c r="F17" s="23" t="str">
        <x:v>强制</x:v>
      </x:c>
      <x:c r="G17" s="23" t="str">
        <x:v>未检查</x:v>
      </x:c>
      <x:c r="H17" s="23" t="str"/>
      <x:c r="I17" s="23" t="str"/>
    </x:row>
    <x:row r="18" ht="62" customHeight="1">
      <x:c r="A18" s="26" t="str">
        <x:v>L13</x:v>
      </x:c>
      <x:c r="B18" s="26" t="str">
        <x:v>发布</x:v>
      </x:c>
      <x:c r="C18" s="26" t="str">
        <x:v>制品摘要、审查、回退和紧急禁用演练通过</x:v>
      </x:c>
      <x:c r="D18" s="26" t="str">
        <x:v>SRE</x:v>
      </x:c>
      <x:c r="E18" s="26" t="str">
        <x:v>G5</x:v>
      </x:c>
      <x:c r="F18" s="26" t="str">
        <x:v>强制</x:v>
      </x:c>
      <x:c r="G18" s="26" t="str">
        <x:v>未检查</x:v>
      </x:c>
      <x:c r="H18" s="26" t="str"/>
      <x:c r="I18" s="26" t="str"/>
    </x:row>
    <x:row r="19" ht="62" customHeight="1">
      <x:c r="A19" s="23" t="str">
        <x:v>L14</x:v>
      </x:c>
      <x:c r="B19" s="23" t="str">
        <x:v>迁移</x:v>
      </x:c>
      <x:c r="C19" s="23" t="str">
        <x:v>扩展迁移及新旧 Worker 兼容通过；禁止破坏性回退</x:v>
      </x:c>
      <x:c r="D19" s="23" t="str">
        <x:v>BE-A</x:v>
      </x:c>
      <x:c r="E19" s="23" t="str">
        <x:v>G5</x:v>
      </x:c>
      <x:c r="F19" s="23" t="str">
        <x:v>强制</x:v>
      </x:c>
      <x:c r="G19" s="23" t="str">
        <x:v>未检查</x:v>
      </x:c>
      <x:c r="H19" s="23" t="str"/>
      <x:c r="I19" s="23" t="str"/>
    </x:row>
    <x:row r="20" ht="62" customHeight="1">
      <x:c r="A20" s="26" t="str">
        <x:v>L15</x:v>
      </x:c>
      <x:c r="B20" s="26" t="str">
        <x:v>恢复</x:v>
      </x:c>
      <x:c r="C20" s="26" t="str">
        <x:v>恢复演练记录真实 RPO／RTO，并对外部任务完成对账</x:v>
      </x:c>
      <x:c r="D20" s="26" t="str">
        <x:v>SRE</x:v>
      </x:c>
      <x:c r="E20" s="26" t="str">
        <x:v>G5</x:v>
      </x:c>
      <x:c r="F20" s="26" t="str">
        <x:v>强制</x:v>
      </x:c>
      <x:c r="G20" s="26" t="str">
        <x:v>未检查</x:v>
      </x:c>
      <x:c r="H20" s="26" t="str"/>
      <x:c r="I20" s="26" t="str"/>
    </x:row>
    <x:row r="21" ht="62" customHeight="1">
      <x:c r="A21" s="23" t="str">
        <x:v>L16</x:v>
      </x:c>
      <x:c r="B21" s="23" t="str">
        <x:v>容量</x:v>
      </x:c>
      <x:c r="C21" s="23" t="str">
        <x:v>稳态、突发、长任务与预算热点压测通过</x:v>
      </x:c>
      <x:c r="D21" s="23" t="str">
        <x:v>QA</x:v>
      </x:c>
      <x:c r="E21" s="23" t="str">
        <x:v>G5</x:v>
      </x:c>
      <x:c r="F21" s="23" t="str">
        <x:v>强制</x:v>
      </x:c>
      <x:c r="G21" s="23" t="str">
        <x:v>未检查</x:v>
      </x:c>
      <x:c r="H21" s="23" t="str"/>
      <x:c r="I21" s="23" t="str"/>
    </x:row>
    <x:row r="22" ht="62" customHeight="1">
      <x:c r="A22" s="26" t="str">
        <x:v>L17</x:v>
      </x:c>
      <x:c r="B22" s="26" t="str">
        <x:v>观测</x:v>
      </x:c>
      <x:c r="C22" s="26" t="str">
        <x:v>SLO、待对账、队列积压、供应商故障有告警责任人</x:v>
      </x:c>
      <x:c r="D22" s="26" t="str">
        <x:v>SRE</x:v>
      </x:c>
      <x:c r="E22" s="26" t="str">
        <x:v>G5</x:v>
      </x:c>
      <x:c r="F22" s="26" t="str">
        <x:v>强制</x:v>
      </x:c>
      <x:c r="G22" s="26" t="str">
        <x:v>未检查</x:v>
      </x:c>
      <x:c r="H22" s="26" t="str"/>
      <x:c r="I22" s="26" t="str"/>
    </x:row>
    <x:row r="23" ht="62" customHeight="1">
      <x:c r="A23" s="23" t="str">
        <x:v>L18</x:v>
      </x:c>
      <x:c r="B23" s="23" t="str">
        <x:v>管理</x:v>
      </x:c>
      <x:c r="C23" s="23" t="str">
        <x:v>Admin MFA／JIT／审计与最小权限启用</x:v>
      </x:c>
      <x:c r="D23" s="23" t="str">
        <x:v>SRE</x:v>
      </x:c>
      <x:c r="E23" s="23" t="str">
        <x:v>G5</x:v>
      </x:c>
      <x:c r="F23" s="23" t="str">
        <x:v>强制</x:v>
      </x:c>
      <x:c r="G23" s="23" t="str">
        <x:v>未检查</x:v>
      </x:c>
      <x:c r="H23" s="23" t="str"/>
      <x:c r="I23" s="23" t="str"/>
    </x:row>
    <x:row r="24" ht="62" customHeight="1">
      <x:c r="A24" s="26" t="str">
        <x:v>L19</x:v>
      </x:c>
      <x:c r="B24" s="26" t="str">
        <x:v>前端</x:v>
      </x:c>
      <x:c r="C24" s="26" t="str">
        <x:v>核心流程的空态、错误态、取消态和键盘路径通过</x:v>
      </x:c>
      <x:c r="D24" s="26" t="str">
        <x:v>FE</x:v>
      </x:c>
      <x:c r="E24" s="26" t="str">
        <x:v>G5</x:v>
      </x:c>
      <x:c r="F24" s="26" t="str">
        <x:v>强制</x:v>
      </x:c>
      <x:c r="G24" s="26" t="str">
        <x:v>未检查</x:v>
      </x:c>
      <x:c r="H24" s="26" t="str"/>
      <x:c r="I24" s="26" t="str"/>
    </x:row>
    <x:row r="25" ht="62" customHeight="1">
      <x:c r="A25" s="23" t="str">
        <x:v>L20</x:v>
      </x:c>
      <x:c r="B25" s="23" t="str">
        <x:v>隐私</x:v>
      </x:c>
      <x:c r="C25" s="23" t="str">
        <x:v>数据地域、保留与删除规则已确认</x:v>
      </x:c>
      <x:c r="D25" s="23" t="str">
        <x:v>PM</x:v>
      </x:c>
      <x:c r="E25" s="23" t="str">
        <x:v>G5</x:v>
      </x:c>
      <x:c r="F25" s="23" t="str">
        <x:v>强制</x:v>
      </x:c>
      <x:c r="G25" s="23" t="str">
        <x:v>未检查</x:v>
      </x:c>
      <x:c r="H25" s="23" t="str"/>
      <x:c r="I25" s="23" t="str"/>
    </x:row>
    <x:row r="26" ht="62" customHeight="1">
      <x:c r="A26" s="26" t="str">
        <x:v>L21</x:v>
      </x:c>
      <x:c r="B26" s="26" t="str">
        <x:v>商业</x:v>
      </x:c>
      <x:c r="C26" s="26" t="str">
        <x:v>供应商允许所采用的代理、转售或 BYOK 使用模式</x:v>
      </x:c>
      <x:c r="D26" s="26" t="str">
        <x:v>PM</x:v>
      </x:c>
      <x:c r="E26" s="26" t="str">
        <x:v>G5</x:v>
      </x:c>
      <x:c r="F26" s="26" t="str">
        <x:v>真实商业供给前强制</x:v>
      </x:c>
      <x:c r="G26" s="26" t="str">
        <x:v>未检查</x:v>
      </x:c>
      <x:c r="H26" s="26" t="str"/>
      <x:c r="I26" s="26" t="str"/>
    </x:row>
    <x:row r="27" ht="62" customHeight="1">
      <x:c r="A27" s="23" t="str">
        <x:v>L22</x:v>
      </x:c>
      <x:c r="B27" s="23" t="str">
        <x:v>支付</x:v>
      </x:c>
      <x:c r="C27" s="23" t="str">
        <x:v>支付供应商、币种、回调与退款 sandbox 已验收</x:v>
      </x:c>
      <x:c r="D27" s="23" t="str">
        <x:v>PM</x:v>
      </x:c>
      <x:c r="E27" s="23" t="str">
        <x:v>G5</x:v>
      </x:c>
      <x:c r="F27" s="23" t="str">
        <x:v>真实资金前强制</x:v>
      </x:c>
      <x:c r="G27" s="23" t="str">
        <x:v>未检查</x:v>
      </x:c>
      <x:c r="H27" s="23" t="str"/>
      <x:c r="I27" s="23" t="str"/>
    </x:row>
    <x:row r="28" ht="62" customHeight="1">
      <x:c r="A28" s="26" t="str">
        <x:v>L23</x:v>
      </x:c>
      <x:c r="B28" s="26" t="str">
        <x:v>支持</x:v>
      </x:c>
      <x:c r="C28" s="26" t="str">
        <x:v>事故联系、值班轮值和用户支持流程落实到人</x:v>
      </x:c>
      <x:c r="D28" s="26" t="str">
        <x:v>PM</x:v>
      </x:c>
      <x:c r="E28" s="26" t="str">
        <x:v>G5</x:v>
      </x:c>
      <x:c r="F28" s="26" t="str">
        <x:v>强制</x:v>
      </x:c>
      <x:c r="G28" s="26" t="str">
        <x:v>未检查</x:v>
      </x:c>
      <x:c r="H28" s="26" t="str"/>
      <x:c r="I28" s="26" t="str"/>
    </x:row>
    <x:row r="29" ht="62" customHeight="1">
      <x:c r="A29" s="23" t="str">
        <x:v>L24</x:v>
      </x:c>
      <x:c r="B29" s="23" t="str">
        <x:v>扩量</x:v>
      </x:c>
      <x:c r="C29" s="23" t="str">
        <x:v>金丝雀样本、暂停阈值与回退步骤获得批准</x:v>
      </x:c>
      <x:c r="D29" s="23" t="str">
        <x:v>SRE</x:v>
      </x:c>
      <x:c r="E29" s="23" t="str">
        <x:v>G5</x:v>
      </x:c>
      <x:c r="F29" s="23" t="str">
        <x:v>强制</x:v>
      </x:c>
      <x:c r="G29" s="23" t="str">
        <x:v>未检查</x:v>
      </x:c>
      <x:c r="H29" s="23" t="str"/>
      <x:c r="I29" s="23" t="str"/>
    </x:row>
    <x:row r="30" ht="62" customHeight="1">
      <x:c r="A30" s="26" t="str">
        <x:v>L25</x:v>
      </x:c>
      <x:c r="B30" s="26" t="str">
        <x:v>交付</x:v>
      </x:c>
      <x:c r="C30" s="26" t="str">
        <x:v>合同版本、依赖锁、文档、测试证据与例外清单已归档</x:v>
      </x:c>
      <x:c r="D30" s="26" t="str">
        <x:v>PM</x:v>
      </x:c>
      <x:c r="E30" s="26" t="str">
        <x:v>G5</x:v>
      </x:c>
      <x:c r="F30" s="26" t="str">
        <x:v>强制</x:v>
      </x:c>
      <x:c r="G30" s="26" t="str">
        <x:v>未检查</x:v>
      </x:c>
      <x:c r="H30" s="26" t="str"/>
      <x:c r="I30" s="26" t="str"/>
    </x:row>
    <x:row r="31" ht="58" customHeight="1">
      <x:c r="A31" s="107" t="str">
        <x:v>L26</x:v>
      </x:c>
      <x:c r="B31" s="107" t="str">
        <x:v>工程</x:v>
      </x:c>
      <x:c r="C31" s="107" t="str">
        <x:v>pnpm 唯一锁、精确工具链及干净环境冻结安装通过</x:v>
      </x:c>
      <x:c r="D31" s="107" t="str">
        <x:v>FE</x:v>
      </x:c>
      <x:c r="E31" s="107" t="str">
        <x:v>G5</x:v>
      </x:c>
      <x:c r="F31" s="107" t="str">
        <x:v>强制</x:v>
      </x:c>
      <x:c r="G31" s="107" t="str">
        <x:v>未检查</x:v>
      </x:c>
      <x:c r="H31" s="107"/>
      <x:c r="I31" s="107"/>
    </x:row>
    <x:row r="32" ht="58" customHeight="1">
      <x:c r="A32" s="107" t="str">
        <x:v>L27</x:v>
      </x:c>
      <x:c r="B32" s="107" t="str">
        <x:v>架构</x:v>
      </x:c>
      <x:c r="C32" s="107" t="str">
        <x:v>后端内向依赖、跨上下文边界和负向 fixture 在 CI 阻断</x:v>
      </x:c>
      <x:c r="D32" s="107" t="str">
        <x:v>BE-A</x:v>
      </x:c>
      <x:c r="E32" s="107" t="str">
        <x:v>G5</x:v>
      </x:c>
      <x:c r="F32" s="107" t="str">
        <x:v>强制</x:v>
      </x:c>
      <x:c r="G32" s="107" t="str">
        <x:v>未检查</x:v>
      </x:c>
      <x:c r="H32" s="107"/>
      <x:c r="I32" s="107"/>
    </x:row>
    <x:row r="33" ht="58" customHeight="1">
      <x:c r="A33" s="107" t="str">
        <x:v>L28</x:v>
      </x:c>
      <x:c r="B33" s="107" t="str">
        <x:v>前端</x:v>
      </x:c>
      <x:c r="C33" s="107" t="str">
        <x:v>前端模块边界、端口装配、单独 Console／Admin 构建通过</x:v>
      </x:c>
      <x:c r="D33" s="107" t="str">
        <x:v>FE</x:v>
      </x:c>
      <x:c r="E33" s="107" t="str">
        <x:v>G5</x:v>
      </x:c>
      <x:c r="F33" s="107" t="str">
        <x:v>强制</x:v>
      </x:c>
      <x:c r="G33" s="107" t="str">
        <x:v>未检查</x:v>
      </x:c>
      <x:c r="H33" s="107"/>
      <x:c r="I33" s="107"/>
    </x:row>
    <x:row r="34" ht="58" customHeight="1">
      <x:c r="A34" s="107" t="str">
        <x:v>L29</x:v>
      </x:c>
      <x:c r="B34" s="107" t="str">
        <x:v>事务</x:v>
      </x:c>
      <x:c r="C34" s="107" t="str">
        <x:v>跨上下文受理例外有批准记录且 T47／T48 证据通过</x:v>
      </x:c>
      <x:c r="D34" s="107" t="str">
        <x:v>BE-A</x:v>
      </x:c>
      <x:c r="E34" s="107" t="str">
        <x:v>G5</x:v>
      </x:c>
      <x:c r="F34" s="107" t="str">
        <x:v>强制</x:v>
      </x:c>
      <x:c r="G34" s="107" t="str">
        <x:v>未检查</x:v>
      </x:c>
      <x:c r="H34" s="107"/>
      <x:c r="I34" s="107"/>
    </x:row>
    <x:row r="35" ht="58" customHeight="1">
      <x:c r="A35" s="107" t="str">
        <x:v>L30</x:v>
      </x:c>
      <x:c r="B35" s="107" t="str">
        <x:v>治理</x:v>
      </x:c>
      <x:c r="C35" s="107" t="str">
        <x:v>代码／表／合同责任人完整；无逾期架构例外</x:v>
      </x:c>
      <x:c r="D35" s="107" t="str">
        <x:v>QA</x:v>
      </x:c>
      <x:c r="E35" s="107" t="str">
        <x:v>G5</x:v>
      </x:c>
      <x:c r="F35" s="107" t="str">
        <x:v>强制</x:v>
      </x:c>
      <x:c r="G35" s="107" t="str">
        <x:v>未检查</x:v>
      </x:c>
      <x:c r="H35" s="107"/>
      <x:c r="I35" s="107"/>
    </x:row>
  </x:sheetData>
  <x:mergeCells>
    <x:mergeCell ref="A1:I1"/>
    <x:mergeCell ref="A2:I3"/>
  </x:mergeCells>
  <x:conditionalFormatting sqref="G6:G30">
    <x:cfRule type="expression" dxfId="6" priority="1">
      <x:formula>G6="不通过"</x:formula>
    </x:cfRule>
  </x:conditionalFormatting>
  <x:dataValidations count="1">
    <x:dataValidation type="list" sqref="G6:G30">
      <x:formula1>"未检查,通过,不通过,不适用（已批准）"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6a12869ab34ee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8" hidden="0" customWidth="1"/>
    <x:col min="3" max="3" width="104" hidden="0" customWidth="1"/>
    <x:col min="4" max="4" width="57" hidden="0" customWidth="1"/>
    <x:col min="5" max="5" width="18" hidden="0" customWidth="1"/>
  </x:cols>
  <x:sheetData>
    <x:row r="1" ht="34" customHeight="1">
      <x:c r="A1" s="5" t="str">
        <x:v>MCPX / 资料来源与规划口径</x:v>
      </x:c>
      <x:c r="B1" s="5"/>
      <x:c r="C1" s="5"/>
      <x:c r="D1" s="5"/>
      <x:c r="E1" s="5"/>
    </x:row>
    <x:row r="2" ht="22" customHeight="1">
      <x:c r="A2" s="10" t="str">
        <x:v>外部资料核验基线：2026-09-04。排期、人日、验收阈值与架构为本项目设计建议；不来自 Monid 内部信息。原始截图仅用于用户侧页面观察，没有登录后测试或源代码审计。</x:v>
      </x:c>
      <x:c r="B2" s="10"/>
      <x:c r="C2" s="10"/>
      <x:c r="D2" s="10"/>
      <x:c r="E2" s="10"/>
    </x:row>
    <x:row r="3" ht="22" customHeight="1">
      <x:c r="A3" s="10"/>
      <x:c r="B3" s="10"/>
      <x:c r="C3" s="10"/>
      <x:c r="D3" s="10"/>
      <x:c r="E3" s="10"/>
    </x:row>
    <x:row r="4">
      <x:c r="A4" s="2"/>
      <x:c r="B4" s="2"/>
      <x:c r="C4" s="2"/>
      <x:c r="D4" s="2"/>
      <x:c r="E4" s="2"/>
    </x:row>
    <x:row r="5" ht="30" customHeight="1">
      <x:c r="A5" s="17" t="str">
        <x:v>来源ID</x:v>
      </x:c>
      <x:c r="B5" s="17" t="str">
        <x:v>官方资料</x:v>
      </x:c>
      <x:c r="C5" s="17" t="str">
        <x:v>URL</x:v>
      </x:c>
      <x:c r="D5" s="17" t="str">
        <x:v>用途</x:v>
      </x:c>
      <x:c r="E5" s="17" t="str">
        <x:v>核验日期</x:v>
      </x:c>
    </x:row>
    <x:row r="6" ht="50" customHeight="1">
      <x:c r="A6" s="26" t="str">
        <x:v>S01</x:v>
      </x:c>
      <x:c r="B6" s="26" t="str">
        <x:v>Monid · How It Works</x:v>
      </x:c>
      <x:c r="C6" s="26" t="str">
        <x:v>https://monid.ai/docs/guide/how-it-works</x:v>
      </x:c>
      <x:c r="D6" s="26" t="str">
        <x:v>发现、检查、执行与多通道产品参照</x:v>
      </x:c>
      <x:c r="E6" s="26" t="str">
        <x:v>2026-09-04</x:v>
      </x:c>
    </x:row>
    <x:row r="7" ht="50" customHeight="1">
      <x:c r="A7" s="23" t="str">
        <x:v>S02</x:v>
      </x:c>
      <x:c r="B7" s="23" t="str">
        <x:v>Monid · Pricing</x:v>
      </x:c>
      <x:c r="C7" s="23" t="str">
        <x:v>https://monid.ai/docs/guide/pricing</x:v>
      </x:c>
      <x:c r="D7" s="23" t="str">
        <x:v>按调用／按结果计价的公开说明</x:v>
      </x:c>
      <x:c r="E7" s="23" t="str">
        <x:v>2026-09-04</x:v>
      </x:c>
    </x:row>
    <x:row r="8" ht="50" customHeight="1">
      <x:c r="A8" s="26" t="str">
        <x:v>S03</x:v>
      </x:c>
      <x:c r="B8" s="26" t="str">
        <x:v>MCP Specification · 2026-07-28</x:v>
      </x:c>
      <x:c r="C8" s="26" t="str">
        <x:v>https://modelcontextprotocol.io/specification/2026-07-28</x:v>
      </x:c>
      <x:c r="D8" s="26" t="str">
        <x:v>当前协议基线；非平台内部设计来源</x:v>
      </x:c>
      <x:c r="E8" s="26" t="str">
        <x:v>2026-09-04</x:v>
      </x:c>
    </x:row>
    <x:row r="9" ht="50" customHeight="1">
      <x:c r="A9" s="23" t="str">
        <x:v>S04</x:v>
      </x:c>
      <x:c r="B9" s="23" t="str">
        <x:v>MCP · Streamable HTTP · 2026-07-28</x:v>
      </x:c>
      <x:c r="C9" s="23" t="str">
        <x:v>https://modelcontextprotocol.io/specification/2026-07-28/basic/transports/streamable-http</x:v>
      </x:c>
      <x:c r="D9" s="23" t="str">
        <x:v>无状态传输、请求头校验及取消语义</x:v>
      </x:c>
      <x:c r="E9" s="23" t="str">
        <x:v>2026-09-04</x:v>
      </x:c>
    </x:row>
    <x:row r="10" ht="50" customHeight="1">
      <x:c r="A10" s="26" t="str">
        <x:v>S05</x:v>
      </x:c>
      <x:c r="B10" s="26" t="str">
        <x:v>MCP · Authorization · 2026-07-28</x:v>
      </x:c>
      <x:c r="C10" s="26" t="str">
        <x:v>https://modelcontextprotocol.io/specification/2026-07-28/basic/authorization</x:v>
      </x:c>
      <x:c r="D10" s="26" t="str">
        <x:v>远程 MCP 授权与资源发现要求</x:v>
      </x:c>
      <x:c r="E10" s="26" t="str">
        <x:v>2026-09-04</x:v>
      </x:c>
    </x:row>
    <x:row r="11" ht="50" customHeight="1">
      <x:c r="A11" s="23" t="str">
        <x:v>S06</x:v>
      </x:c>
      <x:c r="B11" s="23" t="str">
        <x:v>MCP · Security Best Practices</x:v>
      </x:c>
      <x:c r="C11" s="23" t="str">
        <x:v>https://modelcontextprotocol.io/docs/2026-07-28/tutorials/security/security_best_practices</x:v>
      </x:c>
      <x:c r="D11" s="23" t="str">
        <x:v>令牌透传、混淆代理等风险</x:v>
      </x:c>
      <x:c r="E11" s="23" t="str">
        <x:v>2026-09-04</x:v>
      </x:c>
    </x:row>
    <x:row r="12" ht="50" customHeight="1">
      <x:c r="A12" s="26" t="str">
        <x:v>S07</x:v>
      </x:c>
      <x:c r="B12" s="26" t="str">
        <x:v>MCP · Tools · 2026-07-28</x:v>
      </x:c>
      <x:c r="C12" s="26" t="str">
        <x:v>https://modelcontextprotocol.io/specification/2026-07-28/server/tools</x:v>
      </x:c>
      <x:c r="D12" s="26" t="str">
        <x:v>工具合同、命名、Schema 与结果语义</x:v>
      </x:c>
      <x:c r="E12" s="26" t="str">
        <x:v>2026-09-04</x:v>
      </x:c>
    </x:row>
    <x:row r="13" ht="50" customHeight="1">
      <x:c r="A13" s="23" t="str">
        <x:v>S08</x:v>
      </x:c>
      <x:c r="B13" s="23" t="str">
        <x:v>Official MCP Go SDK · README</x:v>
      </x:c>
      <x:c r="C13" s="23" t="str">
        <x:v>https://github.com/modelcontextprotocol/go-sdk</x:v>
      </x:c>
      <x:c r="D13" s="23" t="str">
        <x:v>官方 SDK、协议版本兼容矩阵</x:v>
      </x:c>
      <x:c r="E13" s="23" t="str">
        <x:v>2026-09-04</x:v>
      </x:c>
    </x:row>
    <x:row r="14" ht="50" customHeight="1">
      <x:c r="A14" s="26" t="str">
        <x:v>S09</x:v>
      </x:c>
      <x:c r="B14" s="26" t="str">
        <x:v>Official MCP Go SDK · Releases</x:v>
      </x:c>
      <x:c r="C14" s="26" t="str">
        <x:v>https://github.com/modelcontextprotocol/go-sdk/releases</x:v>
      </x:c>
      <x:c r="D14" s="26" t="str">
        <x:v>v1.7.0 系列支持新协议及无状态配置条件</x:v>
      </x:c>
      <x:c r="E14" s="26" t="str">
        <x:v>2026-09-04</x:v>
      </x:c>
    </x:row>
    <x:row r="15" ht="50" customHeight="1">
      <x:c r="A15" s="23" t="str">
        <x:v>S10</x:v>
      </x:c>
      <x:c r="B15" s="23" t="str">
        <x:v>Go Standard Library · plugin</x:v>
      </x:c>
      <x:c r="C15" s="23" t="str">
        <x:v>https://pkg.go.dev/plugin</x:v>
      </x:c>
      <x:c r="D15" s="23" t="str">
        <x:v>原生动态插件的平台、构建和卸载限制</x:v>
      </x:c>
      <x:c r="E15" s="23" t="str">
        <x:v>2026-09-04</x:v>
      </x:c>
    </x:row>
    <x:row r="16" ht="50" customHeight="1">
      <x:c r="A16" s="26" t="str">
        <x:v>S11</x:v>
      </x:c>
      <x:c r="B16" s="26" t="str">
        <x:v>HashiCorp · go-plugin</x:v>
      </x:c>
      <x:c r="C16" s="26" t="str">
        <x:v>https://github.com/hashicorp/go-plugin</x:v>
      </x:c>
      <x:c r="D16" s="26" t="str">
        <x:v>本机进程间 RPC 插件；不作跨网络调度系统</x:v>
      </x:c>
      <x:c r="E16" s="26" t="str">
        <x:v>2026-09-04</x:v>
      </x:c>
    </x:row>
    <x:row r="17" ht="50" customHeight="1">
      <x:c r="A17" s="23" t="str">
        <x:v>S12</x:v>
      </x:c>
      <x:c r="B17" s="23" t="str">
        <x:v>wazero · Runtime API</x:v>
      </x:c>
      <x:c r="C17" s="23" t="str">
        <x:v>https://pkg.go.dev/github.com/tetratelabs/wazero</x:v>
      </x:c>
      <x:c r="D17" s="23" t="str">
        <x:v>内存限制与 WithCloseOnContextDone</x:v>
      </x:c>
      <x:c r="E17" s="23" t="str">
        <x:v>2026-09-04</x:v>
      </x:c>
    </x:row>
    <x:row r="18" ht="50" customHeight="1">
      <x:c r="A18" s="26" t="str">
        <x:v>S13</x:v>
      </x:c>
      <x:c r="B18" s="26" t="str">
        <x:v>A2A Protocol · Specification</x:v>
      </x:c>
      <x:c r="C18" s="26" t="str">
        <x:v>https://a2a-protocol.org/latest/specification/</x:v>
      </x:c>
      <x:c r="D18" s="26" t="str">
        <x:v>Agent 任务、消息、产物与交互模型</x:v>
      </x:c>
      <x:c r="E18" s="26" t="str">
        <x:v>2026-09-04</x:v>
      </x:c>
    </x:row>
    <x:row r="19" ht="50" customHeight="1">
      <x:c r="A19" s="23" t="str">
        <x:v>S14</x:v>
      </x:c>
      <x:c r="B19" s="23" t="str">
        <x:v>OpenAPI Specification · 3.1.1</x:v>
      </x:c>
      <x:c r="C19" s="23" t="str">
        <x:v>https://spec.openapis.org/oas/v3.1.1.html</x:v>
      </x:c>
      <x:c r="D19" s="23" t="str">
        <x:v>本方案声明式导入合同的固定参考版本</x:v>
      </x:c>
      <x:c r="E19" s="23" t="str">
        <x:v>2026-09-04</x:v>
      </x:c>
    </x:row>
    <x:row r="20" ht="50" customHeight="1">
      <x:c r="A20" s="26" t="str">
        <x:v>S15</x:v>
      </x:c>
      <x:c r="B20" s="26" t="str">
        <x:v>React Router · Picking a Mode</x:v>
      </x:c>
      <x:c r="C20" s="26" t="str">
        <x:v>https://reactrouter.com/start/modes</x:v>
      </x:c>
      <x:c r="D20" s="26" t="str">
        <x:v>Data Mode 与其他路由模式的边界</x:v>
      </x:c>
      <x:c r="E20" s="26" t="str">
        <x:v>2026-09-04</x:v>
      </x:c>
    </x:row>
    <x:row r="21" ht="50" customHeight="1">
      <x:c r="A21" s="23" t="str">
        <x:v>S16</x:v>
      </x:c>
      <x:c r="B21" s="23" t="str">
        <x:v>shadcn/ui · Vite Installation</x:v>
      </x:c>
      <x:c r="C21" s="23" t="str">
        <x:v>https://ui.shadcn.com/docs/installation/vite</x:v>
      </x:c>
      <x:c r="D21" s="23" t="str">
        <x:v>Vite 接入与组件代码维护</x:v>
      </x:c>
      <x:c r="E21" s="23" t="str">
        <x:v>2026-09-04</x:v>
      </x:c>
    </x:row>
    <x:row r="22" ht="50" customHeight="1">
      <x:c r="A22" s="26" t="str">
        <x:v>S17</x:v>
      </x:c>
      <x:c r="B22" s="26" t="str">
        <x:v>Tailwind CSS · Using Vite</x:v>
      </x:c>
      <x:c r="C22" s="26" t="str">
        <x:v>https://tailwindcss.com/docs/installation/using-vite</x:v>
      </x:c>
      <x:c r="D22" s="26" t="str">
        <x:v>Vite 集成方式</x:v>
      </x:c>
      <x:c r="E22" s="26" t="str">
        <x:v>2026-09-04</x:v>
      </x:c>
    </x:row>
    <x:row r="23" ht="50" customHeight="1">
      <x:c r="A23" s="23" t="str">
        <x:v>S18</x:v>
      </x:c>
      <x:c r="B23" s="23" t="str">
        <x:v>TanStack Query · React Overview</x:v>
      </x:c>
      <x:c r="C23" s="23" t="str">
        <x:v>https://tanstack.com/query/latest/docs/framework/react/overview</x:v>
      </x:c>
      <x:c r="D23" s="23" t="str">
        <x:v>服务端状态缓存与异步查询</x:v>
      </x:c>
      <x:c r="E23" s="23" t="str">
        <x:v>2026-09-04</x:v>
      </x:c>
    </x:row>
    <x:row r="24" ht="50" customHeight="1">
      <x:c r="A24" s="26" t="str">
        <x:v>S19</x:v>
      </x:c>
      <x:c r="B24" s="26" t="str">
        <x:v>PostgreSQL · Row Security Policies</x:v>
      </x:c>
      <x:c r="C24" s="26" t="str">
        <x:v>https://www.postgresql.org/docs/current/ddl-rowsecurity.html</x:v>
      </x:c>
      <x:c r="D24" s="26" t="str">
        <x:v>RLS、默认拒绝及角色绕过边界</x:v>
      </x:c>
      <x:c r="E24" s="26" t="str">
        <x:v>2026-09-04</x:v>
      </x:c>
    </x:row>
    <x:row r="25" ht="50" customHeight="1">
      <x:c r="A25" s="23" t="str">
        <x:v>S20</x:v>
      </x:c>
      <x:c r="B25" s="23" t="str">
        <x:v>PostgreSQL · SELECT</x:v>
      </x:c>
      <x:c r="C25" s="23" t="str">
        <x:v>https://www.postgresql.org/docs/current/sql-select.html</x:v>
      </x:c>
      <x:c r="D25" s="23" t="str">
        <x:v>SKIP LOCKED 与队列式消费适用范围</x:v>
      </x:c>
      <x:c r="E25" s="23" t="str">
        <x:v>2026-09-04</x:v>
      </x:c>
    </x:row>
    <x:row r="26" ht="50" customHeight="1">
      <x:c r="A26" s="26" t="str">
        <x:v>S21</x:v>
      </x:c>
      <x:c r="B26" s="26" t="str">
        <x:v>OpenTelemetry · Traces</x:v>
      </x:c>
      <x:c r="C26" s="26" t="str">
        <x:v>https://opentelemetry.io/docs/concepts/signals/traces/</x:v>
      </x:c>
      <x:c r="D26" s="26" t="str">
        <x:v>Trace／Span 与跨服务关联</x:v>
      </x:c>
      <x:c r="E26" s="26" t="str">
        <x:v>2026-09-04</x:v>
      </x:c>
    </x:row>
    <x:row r="27" ht="50" customHeight="1">
      <x:c r="A27" s="23" t="str">
        <x:v>S22</x:v>
      </x:c>
      <x:c r="B27" s="23" t="str">
        <x:v>IETF RFC 9700 · OAuth 2.0 Security BCP</x:v>
      </x:c>
      <x:c r="C27" s="23" t="str">
        <x:v>https://datatracker.ietf.org/doc/html/rfc9700</x:v>
      </x:c>
      <x:c r="D27" s="23" t="str">
        <x:v>OAuth 安全实践参考</x:v>
      </x:c>
      <x:c r="E27" s="23" t="str">
        <x:v>2026-09-04</x:v>
      </x:c>
    </x:row>
    <x:row r="28" ht="50" customHeight="1">
      <x:c r="A28" s="26" t="str">
        <x:v>S23</x:v>
      </x:c>
      <x:c r="B28" s="26" t="str">
        <x:v>OWASP · SSRF Prevention Cheat Sheet</x:v>
      </x:c>
      <x:c r="C28" s="26" t="str">
        <x:v>https://cheatsheetseries.owasp.org/cheatsheets/Server_Side_Request_Forgery_Prevention_Cheat_Sheet.html</x:v>
      </x:c>
      <x:c r="D28" s="26" t="str">
        <x:v>地址、DNS 与网络出口防护</x:v>
      </x:c>
      <x:c r="E28" s="26" t="str">
        <x:v>2026-09-04</x:v>
      </x:c>
    </x:row>
    <x:row r="29" ht="50" customHeight="1">
      <x:c r="A29" s="23" t="str">
        <x:v>S24</x:v>
      </x:c>
      <x:c r="B29" s="23" t="str">
        <x:v>Kubernetes · Multi-tenancy</x:v>
      </x:c>
      <x:c r="C29" s="23" t="str">
        <x:v>https://kubernetes.io/docs/concepts/security/multi-tenancy/</x:v>
      </x:c>
      <x:c r="D29" s="23" t="str">
        <x:v>隔离级别与多租户安全边界</x:v>
      </x:c>
      <x:c r="E29" s="23" t="str">
        <x:v>2026-09-04</x:v>
      </x:c>
    </x:row>
    <x:row r="30" ht="50" customHeight="1">
      <x:c r="A30" s="26" t="str">
        <x:v>S25</x:v>
      </x:c>
      <x:c r="B30" s="26" t="str">
        <x:v>Gin · Package Documentation</x:v>
      </x:c>
      <x:c r="C30" s="26" t="str">
        <x:v>https://pkg.go.dev/github.com/gin-gonic/gin</x:v>
      </x:c>
      <x:c r="D30" s="26" t="str">
        <x:v>Gin HTTP 路由与 http.Handler 接入</x:v>
      </x:c>
      <x:c r="E30" s="26" t="str">
        <x:v>2026-09-04</x:v>
      </x:c>
    </x:row>
    <x:row r="31" ht="58" customHeight="1">
      <x:c r="A31" s="107" t="str">
        <x:v>S26</x:v>
      </x:c>
      <x:c r="B31" s="107" t="str">
        <x:v>pnpm · Workspace</x:v>
      </x:c>
      <x:c r="C31" s="107" t="str">
        <x:v>https://pnpm.io/workspaces</x:v>
      </x:c>
      <x:c r="D31" s="107" t="str">
        <x:v>工作区、workspace: 本地依赖协议与共享锁文件</x:v>
      </x:c>
      <x:c r="E31" s="107" t="str">
        <x:v>2026-09-04</x:v>
      </x:c>
    </x:row>
    <x:row r="32" ht="58" customHeight="1">
      <x:c r="A32" s="107" t="str">
        <x:v>S27</x:v>
      </x:c>
      <x:c r="B32" s="107" t="str">
        <x:v>pnpm · install</x:v>
      </x:c>
      <x:c r="C32" s="107" t="str">
        <x:v>https://pnpm.io/cli/install</x:v>
      </x:c>
      <x:c r="D32" s="107" t="str">
        <x:v>冻结锁文件安装；缺失或不一致时失败</x:v>
      </x:c>
      <x:c r="E32" s="107" t="str">
        <x:v>2026-09-04</x:v>
      </x:c>
    </x:row>
    <x:row r="33" ht="58" customHeight="1">
      <x:c r="A33" s="107" t="str">
        <x:v>S28</x:v>
      </x:c>
      <x:c r="B33" s="107" t="str">
        <x:v>pnpm · package.json</x:v>
      </x:c>
      <x:c r="C33" s="107" t="str">
        <x:v>https://pnpm.io/package_json</x:v>
      </x:c>
      <x:c r="D33" s="107" t="str">
        <x:v>包管理器和运行时版本声明；按选定版本核验</x:v>
      </x:c>
      <x:c r="E33" s="107" t="str">
        <x:v>2026-09-04</x:v>
      </x:c>
    </x:row>
    <x:row r="34" ht="58" customHeight="1">
      <x:c r="A34" s="107" t="str">
        <x:v>S29</x:v>
      </x:c>
      <x:c r="B34" s="107" t="str">
        <x:v>pnpm · Settings</x:v>
      </x:c>
      <x:c r="C34" s="107" t="str">
        <x:v>https://pnpm.io/settings</x:v>
      </x:c>
      <x:c r="D34" s="107" t="str">
        <x:v>工作区配置位置及版本差异；不照搬其他主版本配置</x:v>
      </x:c>
      <x:c r="E34" s="107" t="str">
        <x:v>2026-09-04</x:v>
      </x:c>
    </x:row>
    <x:row r="35" ht="58" customHeight="1">
      <x:c r="A35" s="107" t="str">
        <x:v>S30</x:v>
      </x:c>
      <x:c r="B35" s="107" t="str">
        <x:v>DDD Community · Glossary</x:v>
      </x:c>
      <x:c r="C35" s="107" t="str">
        <x:v>https://www.dddcommunity.org/resources/ddd_terms/</x:v>
      </x:c>
      <x:c r="D35" s="107" t="str">
        <x:v>限界上下文、聚合、领域模型和上下文映射术语</x:v>
      </x:c>
      <x:c r="E35" s="107" t="str">
        <x:v>2026-09-04</x:v>
      </x:c>
    </x:row>
    <x:row r="36" ht="58" customHeight="1">
      <x:c r="A36" s="107" t="str">
        <x:v>S31</x:v>
      </x:c>
      <x:c r="B36" s="107" t="str">
        <x:v>Robert C. Martin · The Clean Architecture</x:v>
      </x:c>
      <x:c r="C36" s="107" t="str">
        <x:v>https://blog.cleancoder.com/uncle-bob/2012/08/13/the-clean-architecture.html</x:v>
      </x:c>
      <x:c r="D36" s="107" t="str">
        <x:v>源码依赖向内；边界数据不携带外层细节</x:v>
      </x:c>
      <x:c r="E36" s="107" t="str">
        <x:v>2026-09-04</x:v>
      </x:c>
    </x:row>
    <x:row r="37" ht="58" customHeight="1">
      <x:c r="A37" s="107" t="str">
        <x:v>S32</x:v>
      </x:c>
      <x:c r="B37" s="107" t="str">
        <x:v>Go · Code Review Comments</x:v>
      </x:c>
      <x:c r="C37" s="107" t="str">
        <x:v>https://go.dev/wiki/CodeReviewComments#interfaces</x:v>
      </x:c>
      <x:c r="D37" s="107" t="str">
        <x:v>消费方定义小接口；避免为模拟而预设实现方大接口</x:v>
      </x:c>
      <x:c r="E37" s="107" t="str">
        <x:v>2026-09-04</x:v>
      </x:c>
    </x:row>
    <x:row r="38" ht="58" customHeight="1">
      <x:c r="A38" s="107" t="str">
        <x:v>S33</x:v>
      </x:c>
      <x:c r="B38" s="107" t="str">
        <x:v>Microsoft · Infrastructure Persistence Layer</x:v>
      </x:c>
      <x:c r="C38" s="107" t="str">
        <x:v>https://learn.microsoft.com/en-us/dotnet/architecture/microservices/microservice-ddd-cqrs-patterns/infrastructure-persistence-layer-design</x:v>
      </x:c>
      <x:c r="D38" s="107" t="str">
        <x:v>聚合持久化与基础设施分离的参考；非 Go 模板</x:v>
      </x:c>
      <x:c r="E38" s="107" t="str">
        <x:v>2026-09-04</x:v>
      </x:c>
    </x:row>
    <x:row r="39" ht="58" customHeight="1">
      <x:c r="A39" s="107" t="str">
        <x:v>S34</x:v>
      </x:c>
      <x:c r="B39" s="107" t="str">
        <x:v>TypeScript · Project References</x:v>
      </x:c>
      <x:c r="C39" s="107" t="str">
        <x:v>https://www.typescriptlang.org/docs/handbook/project-references.html</x:v>
      </x:c>
      <x:c r="D39" s="107" t="str">
        <x:v>项目引用用于多包编译组织；不代替架构访问规则</x:v>
      </x:c>
      <x:c r="E39" s="107" t="str">
        <x:v>2026-09-04</x:v>
      </x:c>
    </x:row>
    <x:row r="40" ht="58" customHeight="1">
      <x:c r="A40" s="107" t="str">
        <x:v>S35</x:v>
      </x:c>
      <x:c r="B40" s="107" t="str">
        <x:v>ESLint · no-restricted-imports</x:v>
      </x:c>
      <x:c r="C40" s="107" t="str">
        <x:v>https://eslint.org/docs/latest/rules/no-restricted-imports</x:v>
      </x:c>
      <x:c r="D40" s="107" t="str">
        <x:v>导入限制规则的基础；解析后模块边界需配合独立检查</x:v>
      </x:c>
      <x:c r="E40" s="107" t="str">
        <x:v>2026-09-04</x:v>
      </x:c>
    </x:row>
  </x:sheetData>
  <x:mergeCells>
    <x:mergeCell ref="A1:E1"/>
    <x:mergeCell ref="A2:E3"/>
  </x:mergeCells>
  <x:pageMargins left="0.7" right="0.7" top="0.75" bottom="0.75" header="0.3" footer="0.3"/>
  <x:tableParts count="1">
    <x:tablePart xmlns:r="http://schemas.openxmlformats.org/officeDocument/2006/relationships" r:id="R8863aa3963f74a8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7" hidden="0" customWidth="1"/>
    <x:col min="3" max="3" width="16" hidden="0" customWidth="1"/>
    <x:col min="4" max="4" width="37" hidden="0" customWidth="1"/>
    <x:col min="5" max="5" width="32" hidden="0" customWidth="1"/>
    <x:col min="6" max="6" width="17" hidden="0" customWidth="1"/>
    <x:col min="7" max="7" width="37" hidden="0" customWidth="1"/>
    <x:col min="8" max="8" width="34" hidden="0" customWidth="1"/>
    <x:col min="9" max="9" width="14" hidden="0" customWidth="1"/>
    <x:col min="10" max="10" width="28" hidden="0" customWidth="1"/>
  </x:cols>
  <x:sheetData>
    <x:row r="1" ht="38" customHeight="1">
      <x:c r="A1" s="109" t="str">
        <x:v>MCPX / 限界上下文与数据所有权</x:v>
      </x:c>
      <x:c r="B1" s="109"/>
      <x:c r="C1" s="109"/>
      <x:c r="D1" s="109"/>
      <x:c r="E1" s="109"/>
      <x:c r="F1" s="109"/>
      <x:c r="G1" s="109"/>
      <x:c r="H1" s="109"/>
      <x:c r="I1" s="109"/>
      <x:c r="J1" s="109"/>
    </x:row>
    <x:row r="2">
      <x:c r="A2" s="113" t="str">
        <x:v>候选上下文，不等于八个微服务。Provider 主记录归 supply，PriceVersion 归 commerce；各表、迁移和集成事件需指定实际负责人。方法已确定，边界待 G0 冻结。</x:v>
      </x:c>
      <x:c r="B2" s="113"/>
      <x:c r="C2" s="113"/>
      <x:c r="D2" s="113"/>
      <x:c r="E2" s="113"/>
      <x:c r="F2" s="113"/>
      <x:c r="G2" s="113"/>
      <x:c r="H2" s="113"/>
      <x:c r="I2" s="113"/>
      <x:c r="J2" s="113"/>
    </x:row>
    <x:row r="3">
      <x:c r="A3" s="113"/>
      <x:c r="B3" s="113"/>
      <x:c r="C3" s="113"/>
      <x:c r="D3" s="113"/>
      <x:c r="E3" s="113"/>
      <x:c r="F3" s="113"/>
      <x:c r="G3" s="113"/>
      <x:c r="H3" s="113"/>
      <x:c r="I3" s="113"/>
      <x:c r="J3" s="113"/>
    </x:row>
    <x:row r="5" ht="30" customHeight="1">
      <x:c r="A5" s="116" t="str">
        <x:v>ID</x:v>
      </x:c>
      <x:c r="B5" s="116" t="str">
        <x:v>代码名</x:v>
      </x:c>
      <x:c r="C5" s="116" t="str">
        <x:v>上下文</x:v>
      </x:c>
      <x:c r="D5" s="116" t="str">
        <x:v>聚合／主数据</x:v>
      </x:c>
      <x:c r="E5" s="116" t="str">
        <x:v>职责</x:v>
      </x:c>
      <x:c r="F5" s="116" t="str">
        <x:v>责任角色</x:v>
      </x:c>
      <x:c r="G5" s="116" t="str">
        <x:v>公开输出</x:v>
      </x:c>
      <x:c r="H5" s="116" t="str">
        <x:v>关键边界</x:v>
      </x:c>
      <x:c r="I5" s="116" t="str">
        <x:v>状态</x:v>
      </x:c>
      <x:c r="J5" s="116" t="str">
        <x:v>实际负责人／证据</x:v>
      </x:c>
    </x:row>
    <x:row r="6" ht="66" customHeight="1">
      <x:c r="A6" s="118" t="str">
        <x:v>BC01</x:v>
      </x:c>
      <x:c r="B6" s="118" t="str">
        <x:v>identity</x:v>
      </x:c>
      <x:c r="C6" s="118" t="str">
        <x:v>身份与租户</x:v>
      </x:c>
      <x:c r="D6" s="118" t="str">
        <x:v>Workspace、Membership、ServiceAccount、APIKey</x:v>
      </x:c>
      <x:c r="E6" s="118" t="str">
        <x:v>成员和调用主体、Key 生命周期</x:v>
      </x:c>
      <x:c r="F6" s="118" t="str">
        <x:v>BE-A</x:v>
      </x:c>
      <x:c r="G6" s="118" t="str">
        <x:v>身份与 Workspace ID／授权事实</x:v>
      </x:c>
      <x:c r="H6" s="118" t="str">
        <x:v>平台管理员与租户管理员分离</x:v>
      </x:c>
      <x:c r="I6" s="118" t="str">
        <x:v>待评审</x:v>
      </x:c>
      <x:c r="J6" s="118"/>
    </x:row>
    <x:row r="7" ht="66" customHeight="1">
      <x:c r="A7" s="117" t="str">
        <x:v>BC02</x:v>
      </x:c>
      <x:c r="B7" s="117" t="str">
        <x:v>catalog</x:v>
      </x:c>
      <x:c r="C7" s="117" t="str">
        <x:v>能力目录</x:v>
      </x:c>
      <x:c r="D7" s="117" t="str">
        <x:v>Tool、ToolVersion</x:v>
      </x:c>
      <x:c r="E7" s="117" t="str">
        <x:v>工具语义、输入输出合同、可见性</x:v>
      </x:c>
      <x:c r="F7" s="117" t="str">
        <x:v>BE-A</x:v>
      </x:c>
      <x:c r="G7" s="117" t="str">
        <x:v>ToolContract、PublishedToolVersion</x:v>
      </x:c>
      <x:c r="H7" s="117" t="str">
        <x:v>Provider 和价格只是引用／投影</x:v>
      </x:c>
      <x:c r="I7" s="117" t="str">
        <x:v>待评审</x:v>
      </x:c>
      <x:c r="J7" s="117"/>
    </x:row>
    <x:row r="8" ht="66" customHeight="1">
      <x:c r="A8" s="118" t="str">
        <x:v>BC03</x:v>
      </x:c>
      <x:c r="B8" s="118" t="str">
        <x:v>connections</x:v>
      </x:c>
      <x:c r="C8" s="118" t="str">
        <x:v>授权连接</x:v>
      </x:c>
      <x:c r="D8" s="118" t="str">
        <x:v>Connection</x:v>
      </x:c>
      <x:c r="E8" s="118" t="str">
        <x:v>授权范围、连接状态、秘密引用</x:v>
      </x:c>
      <x:c r="F8" s="118" t="str">
        <x:v>BE-A</x:v>
      </x:c>
      <x:c r="G8" s="118" t="str">
        <x:v>ConnectionCapability、凭据代理端口</x:v>
      </x:c>
      <x:c r="H8" s="118" t="str">
        <x:v>不对消费者暴露原始全局秘密</x:v>
      </x:c>
      <x:c r="I8" s="118" t="str">
        <x:v>待评审</x:v>
      </x:c>
      <x:c r="J8" s="118"/>
    </x:row>
    <x:row r="9" ht="66" customHeight="1">
      <x:c r="A9" s="117" t="str">
        <x:v>BC04</x:v>
      </x:c>
      <x:c r="B9" s="117" t="str">
        <x:v>distribution</x:v>
      </x:c>
      <x:c r="C9" s="117" t="str">
        <x:v>工具集分发</x:v>
      </x:c>
      <x:c r="D9" s="117" t="str">
        <x:v>Toolset、PublishedSnapshot</x:v>
      </x:c>
      <x:c r="E9" s="117" t="str">
        <x:v>绑定、版本固定、入口与环境</x:v>
      </x:c>
      <x:c r="F9" s="117" t="str">
        <x:v>BE-B</x:v>
      </x:c>
      <x:c r="G9" s="117" t="str">
        <x:v>ToolsetSnapshot、路由解析结果</x:v>
      </x:c>
      <x:c r="H9" s="117" t="str">
        <x:v>不持有 Tool／Connection 聚合对象</x:v>
      </x:c>
      <x:c r="I9" s="117" t="str">
        <x:v>待评审</x:v>
      </x:c>
      <x:c r="J9" s="117"/>
    </x:row>
    <x:row r="10" ht="66" customHeight="1">
      <x:c r="A10" s="118" t="str">
        <x:v>BC05</x:v>
      </x:c>
      <x:c r="B10" s="118" t="str">
        <x:v>execution</x:v>
      </x:c>
      <x:c r="C10" s="118" t="str">
        <x:v>执行</x:v>
      </x:c>
      <x:c r="D10" s="118" t="str">
        <x:v>Run、Attempt；Artifact 元数据模块</x:v>
      </x:c>
      <x:c r="E10" s="118" t="str">
        <x:v>状态、幂等、租约、执行与产物</x:v>
      </x:c>
      <x:c r="F10" s="118" t="str">
        <x:v>BE-A／BE-B</x:v>
      </x:c>
      <x:c r="G10" s="118" t="str">
        <x:v>RunView、ExecutionOutcome</x:v>
      </x:c>
      <x:c r="H10" s="118" t="str">
        <x:v>执行状态与结算状态分开</x:v>
      </x:c>
      <x:c r="I10" s="118" t="str">
        <x:v>待评审</x:v>
      </x:c>
      <x:c r="J10" s="118"/>
    </x:row>
    <x:row r="11" ht="66" customHeight="1">
      <x:c r="A11" s="117" t="str">
        <x:v>BC06</x:v>
      </x:c>
      <x:c r="B11" s="117" t="str">
        <x:v>commerce</x:v>
      </x:c>
      <x:c r="C11" s="117" t="str">
        <x:v>计量与资金</x:v>
      </x:c>
      <x:c r="D11" s="117" t="str">
        <x:v>PriceVersion、Wallet、Budget、Reservation、Settlement</x:v>
      </x:c>
      <x:c r="E11" s="117" t="str">
        <x:v>计价、预留、使用事实、分录和对账</x:v>
      </x:c>
      <x:c r="F11" s="117" t="str">
        <x:v>BE-A</x:v>
      </x:c>
      <x:c r="G11" s="117" t="str">
        <x:v>PriceQuote、ReservationReceipt、SettlementResult</x:v>
      </x:c>
      <x:c r="H11" s="117" t="str">
        <x:v>共享事务不开放任意跨域写表</x:v>
      </x:c>
      <x:c r="I11" s="117" t="str">
        <x:v>待评审</x:v>
      </x:c>
      <x:c r="J11" s="117"/>
    </x:row>
    <x:row r="12" ht="66" customHeight="1">
      <x:c r="A12" s="118" t="str">
        <x:v>BC07</x:v>
      </x:c>
      <x:c r="B12" s="118" t="str">
        <x:v>supply</x:v>
      </x:c>
      <x:c r="C12" s="118" t="str">
        <x:v>供应与发布</x:v>
      </x:c>
      <x:c r="D12" s="118" t="str">
        <x:v>Provider、PluginVersion、Deployment、ReleasePlan</x:v>
      </x:c>
      <x:c r="E12" s="118" t="str">
        <x:v>供应商入驻、制品、审核与发布</x:v>
      </x:c>
      <x:c r="F12" s="118" t="str">
        <x:v>BE-B</x:v>
      </x:c>
      <x:c r="G12" s="118" t="str">
        <x:v>ProviderProfile、DeploymentDescriptor</x:v>
      </x:c>
      <x:c r="H12" s="118" t="str">
        <x:v>runtime 是此领域的外部执行机制</x:v>
      </x:c>
      <x:c r="I12" s="118" t="str">
        <x:v>待评审</x:v>
      </x:c>
      <x:c r="J12" s="118"/>
    </x:row>
    <x:row r="13" ht="66" customHeight="1">
      <x:c r="A13" s="117" t="str">
        <x:v>BC08</x:v>
      </x:c>
      <x:c r="B13" s="117" t="str">
        <x:v>governance</x:v>
      </x:c>
      <x:c r="C13" s="117" t="str">
        <x:v>策略与审计</x:v>
      </x:c>
      <x:c r="D13" s="117" t="str">
        <x:v>PolicyRevision、Approval；AuditRecord</x:v>
      </x:c>
      <x:c r="E13" s="117" t="str">
        <x:v>风险决策、审批、审计与例外</x:v>
      </x:c>
      <x:c r="F13" s="117" t="str">
        <x:v>BE-A／SRE</x:v>
      </x:c>
      <x:c r="G13" s="117" t="str">
        <x:v>PolicyDecision、ApprovalDecision</x:v>
      </x:c>
      <x:c r="H13" s="117" t="str">
        <x:v>审计读模型不反向修改业务聚合</x:v>
      </x:c>
      <x:c r="I13" s="117" t="str">
        <x:v>待评审</x:v>
      </x:c>
      <x:c r="J13" s="117"/>
    </x:row>
  </x:sheetData>
  <x:mergeCells>
    <x:mergeCell ref="A1:J1"/>
    <x:mergeCell ref="A2:J3"/>
  </x:mergeCells>
  <x:dataValidations count="1">
    <x:dataValidation type="list" sqref="I6:I13">
      <x:formula1>"待评审,已确认,调整中"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2517868c744753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9" hidden="0" customWidth="1"/>
    <x:col min="3" max="3" width="40" hidden="0" customWidth="1"/>
    <x:col min="4" max="4" width="29" hidden="0" customWidth="1"/>
    <x:col min="5" max="5" width="24" hidden="0" customWidth="1"/>
    <x:col min="6" max="6" width="18" hidden="0" customWidth="1"/>
    <x:col min="7" max="7" width="10" hidden="0" customWidth="1"/>
    <x:col min="8" max="8" width="17" hidden="0" customWidth="1"/>
    <x:col min="9" max="9" width="15" hidden="0" customWidth="1"/>
    <x:col min="10" max="10" width="30" hidden="0" customWidth="1"/>
  </x:cols>
  <x:sheetData>
    <x:row r="1" ht="38" customHeight="1">
      <x:c r="A1" s="109" t="str">
        <x:v>MCPX / 工程规则与门禁</x:v>
      </x:c>
      <x:c r="B1" s="109"/>
      <x:c r="C1" s="109"/>
      <x:c r="D1" s="109"/>
      <x:c r="E1" s="109"/>
      <x:c r="F1" s="109"/>
      <x:c r="G1" s="109"/>
      <x:c r="H1" s="109"/>
      <x:c r="I1" s="109"/>
      <x:c r="J1" s="109"/>
    </x:row>
    <x:row r="2">
      <x:c r="A2" s="113" t="str">
        <x:v>此表跟踪规则实施，不重复计算人日；实际工作归 WBS。自动检查需用负向 fixture 验证；策略文件存在不表示 CI 已生效。初始全部待评审或未实施。</x:v>
      </x:c>
      <x:c r="B2" s="113"/>
      <x:c r="C2" s="113"/>
      <x:c r="D2" s="113"/>
      <x:c r="E2" s="113"/>
      <x:c r="F2" s="113"/>
      <x:c r="G2" s="113"/>
      <x:c r="H2" s="113"/>
      <x:c r="I2" s="113"/>
      <x:c r="J2" s="113"/>
    </x:row>
    <x:row r="3">
      <x:c r="A3" s="113"/>
      <x:c r="B3" s="113"/>
      <x:c r="C3" s="113"/>
      <x:c r="D3" s="113"/>
      <x:c r="E3" s="113"/>
      <x:c r="F3" s="113"/>
      <x:c r="G3" s="113"/>
      <x:c r="H3" s="113"/>
      <x:c r="I3" s="113"/>
      <x:c r="J3" s="113"/>
    </x:row>
    <x:row r="5" ht="30" customHeight="1">
      <x:c r="A5" s="116" t="str">
        <x:v>规则ID</x:v>
      </x:c>
      <x:c r="B5" s="116" t="str">
        <x:v>主题</x:v>
      </x:c>
      <x:c r="C5" s="116" t="str">
        <x:v>约束</x:v>
      </x:c>
      <x:c r="D5" s="116" t="str">
        <x:v>任务引用</x:v>
      </x:c>
      <x:c r="E5" s="116" t="str">
        <x:v>测试引用</x:v>
      </x:c>
      <x:c r="F5" s="116" t="str">
        <x:v>责任角色</x:v>
      </x:c>
      <x:c r="G5" s="116" t="str">
        <x:v>Gate</x:v>
      </x:c>
      <x:c r="H5" s="116" t="str">
        <x:v>验收方式</x:v>
      </x:c>
      <x:c r="I5" s="116" t="str">
        <x:v>状态</x:v>
      </x:c>
      <x:c r="J5" s="116" t="str">
        <x:v>证据／例外</x:v>
      </x:c>
    </x:row>
    <x:row r="6" ht="66" customHeight="1">
      <x:c r="A6" s="118" t="str">
        <x:v>GVR-01</x:v>
      </x:c>
      <x:c r="B6" s="118" t="str">
        <x:v>pnpm 唯一性</x:v>
      </x:c>
      <x:c r="C6" s="118" t="str">
        <x:v>前端所有安装和脚本使用 pnpm；仅一份锁</x:v>
      </x:c>
      <x:c r="D6" s="118" t="str">
        <x:v>S1-07;S1-13</x:v>
      </x:c>
      <x:c r="E6" s="118" t="str">
        <x:v>T41</x:v>
      </x:c>
      <x:c r="F6" s="118" t="str">
        <x:v>FE</x:v>
      </x:c>
      <x:c r="G6" s="118" t="str">
        <x:v>G1</x:v>
      </x:c>
      <x:c r="H6" s="118" t="str">
        <x:v>阻断</x:v>
      </x:c>
      <x:c r="I6" s="118" t="str">
        <x:v>未实施</x:v>
      </x:c>
      <x:c r="J6" s="118"/>
    </x:row>
    <x:row r="7" ht="66" customHeight="1">
      <x:c r="A7" s="117" t="str">
        <x:v>GVR-02</x:v>
      </x:c>
      <x:c r="B7" s="117" t="str">
        <x:v>工具链固定</x:v>
      </x:c>
      <x:c r="C7" s="117" t="str">
        <x:v>packageManager 精确版本、Node 版本与锁文件审查</x:v>
      </x:c>
      <x:c r="D7" s="117" t="str">
        <x:v>S0-10;S1-13</x:v>
      </x:c>
      <x:c r="E7" s="117" t="str">
        <x:v>T41</x:v>
      </x:c>
      <x:c r="F7" s="117" t="str">
        <x:v>FE／SRE</x:v>
      </x:c>
      <x:c r="G7" s="117" t="str">
        <x:v>G1</x:v>
      </x:c>
      <x:c r="H7" s="117" t="str">
        <x:v>阻断</x:v>
      </x:c>
      <x:c r="I7" s="117" t="str">
        <x:v>未实施</x:v>
      </x:c>
      <x:c r="J7" s="117"/>
    </x:row>
    <x:row r="8" ht="66" customHeight="1">
      <x:c r="A8" s="118" t="str">
        <x:v>GVR-03</x:v>
      </x:c>
      <x:c r="B8" s="118" t="str">
        <x:v>统一语言</x:v>
      </x:c>
      <x:c r="C8" s="118" t="str">
        <x:v>术语、反例、上下文负责人和领域事件有记录</x:v>
      </x:c>
      <x:c r="D8" s="118" t="str">
        <x:v>S0-02</x:v>
      </x:c>
      <x:c r="E8" s="118" t="str">
        <x:v>T45</x:v>
      </x:c>
      <x:c r="F8" s="118" t="str">
        <x:v>BE-A</x:v>
      </x:c>
      <x:c r="G8" s="118" t="str">
        <x:v>G0</x:v>
      </x:c>
      <x:c r="H8" s="118" t="str">
        <x:v>评审</x:v>
      </x:c>
      <x:c r="I8" s="118" t="str">
        <x:v>待评审</x:v>
      </x:c>
      <x:c r="J8" s="118"/>
    </x:row>
    <x:row r="9" ht="66" customHeight="1">
      <x:c r="A9" s="117" t="str">
        <x:v>GVR-04</x:v>
      </x:c>
      <x:c r="B9" s="117" t="str">
        <x:v>单一数据所有者</x:v>
      </x:c>
      <x:c r="C9" s="117" t="str">
        <x:v>聚合、表、迁移、事件 Schema 有唯一上下文</x:v>
      </x:c>
      <x:c r="D9" s="117" t="str">
        <x:v>S0-02;S1-05</x:v>
      </x:c>
      <x:c r="E9" s="117" t="str">
        <x:v>T43</x:v>
      </x:c>
      <x:c r="F9" s="117" t="str">
        <x:v>BE-A</x:v>
      </x:c>
      <x:c r="G9" s="117" t="str">
        <x:v>G1</x:v>
      </x:c>
      <x:c r="H9" s="117" t="str">
        <x:v>阻断＋评审</x:v>
      </x:c>
      <x:c r="I9" s="117" t="str">
        <x:v>未实施</x:v>
      </x:c>
      <x:c r="J9" s="117"/>
    </x:row>
    <x:row r="10" ht="66" customHeight="1">
      <x:c r="A10" s="118" t="str">
        <x:v>GVR-05</x:v>
      </x:c>
      <x:c r="B10" s="118" t="str">
        <x:v>领域内向依赖</x:v>
      </x:c>
      <x:c r="C10" s="118" t="str">
        <x:v>domain 不依赖框架、SQL、SDK、环境和系统时钟调用</x:v>
      </x:c>
      <x:c r="D10" s="118" t="str">
        <x:v>S1-01;S1-13</x:v>
      </x:c>
      <x:c r="E10" s="118" t="str">
        <x:v>T42;T45</x:v>
      </x:c>
      <x:c r="F10" s="118" t="str">
        <x:v>BE-A</x:v>
      </x:c>
      <x:c r="G10" s="118" t="str">
        <x:v>G1</x:v>
      </x:c>
      <x:c r="H10" s="118" t="str">
        <x:v>阻断</x:v>
      </x:c>
      <x:c r="I10" s="118" t="str">
        <x:v>未实施</x:v>
      </x:c>
      <x:c r="J10" s="118"/>
    </x:row>
    <x:row r="11" ht="66" customHeight="1">
      <x:c r="A11" s="117" t="str">
        <x:v>GVR-06</x:v>
      </x:c>
      <x:c r="B11" s="117" t="str">
        <x:v>用例端口</x:v>
      </x:c>
      <x:c r="C11" s="117" t="str">
        <x:v>application 不引用具体 adapter；接口按消费方需求定义</x:v>
      </x:c>
      <x:c r="D11" s="117" t="str">
        <x:v>S1-01</x:v>
      </x:c>
      <x:c r="E11" s="117" t="str">
        <x:v>T42;T46</x:v>
      </x:c>
      <x:c r="F11" s="117" t="str">
        <x:v>BE-A</x:v>
      </x:c>
      <x:c r="G11" s="117" t="str">
        <x:v>G1</x:v>
      </x:c>
      <x:c r="H11" s="117" t="str">
        <x:v>阻断</x:v>
      </x:c>
      <x:c r="I11" s="117" t="str">
        <x:v>未实施</x:v>
      </x:c>
      <x:c r="J11" s="117"/>
    </x:row>
    <x:row r="12" ht="66" customHeight="1">
      <x:c r="A12" s="118" t="str">
        <x:v>GVR-07</x:v>
      </x:c>
      <x:c r="B12" s="118" t="str">
        <x:v>跨域公开合同</x:v>
      </x:c>
      <x:c r="C12" s="118" t="str">
        <x:v>只有出站防腐层和装配根可引用他域 public；不得深导入</x:v>
      </x:c>
      <x:c r="D12" s="118" t="str">
        <x:v>S1-01;S1-13</x:v>
      </x:c>
      <x:c r="E12" s="118" t="str">
        <x:v>T43</x:v>
      </x:c>
      <x:c r="F12" s="118" t="str">
        <x:v>BE-B</x:v>
      </x:c>
      <x:c r="G12" s="118" t="str">
        <x:v>G1</x:v>
      </x:c>
      <x:c r="H12" s="118" t="str">
        <x:v>阻断</x:v>
      </x:c>
      <x:c r="I12" s="118" t="str">
        <x:v>未实施</x:v>
      </x:c>
      <x:c r="J12" s="118"/>
    </x:row>
    <x:row r="13" ht="66" customHeight="1">
      <x:c r="A13" s="117" t="str">
        <x:v>GVR-08</x:v>
      </x:c>
      <x:c r="B13" s="117" t="str">
        <x:v>聚合行为</x:v>
      </x:c>
      <x:c r="C13" s="117" t="str">
        <x:v>状态与不变量通过方法维护，禁止通用 SetStatus 或改余额</x:v>
      </x:c>
      <x:c r="D13" s="117" t="str">
        <x:v>S2-02;S2-03</x:v>
      </x:c>
      <x:c r="E13" s="117" t="str">
        <x:v>T45</x:v>
      </x:c>
      <x:c r="F13" s="117" t="str">
        <x:v>BE-A</x:v>
      </x:c>
      <x:c r="G13" s="117" t="str">
        <x:v>G2</x:v>
      </x:c>
      <x:c r="H13" s="117" t="str">
        <x:v>测试＋评审</x:v>
      </x:c>
      <x:c r="I13" s="117" t="str">
        <x:v>未实施</x:v>
      </x:c>
      <x:c r="J13" s="117"/>
    </x:row>
    <x:row r="14" ht="66" customHeight="1">
      <x:c r="A14" s="118" t="str">
        <x:v>GVR-09</x:v>
      </x:c>
      <x:c r="B14" s="118" t="str">
        <x:v>原子受理例外</x:v>
      </x:c>
      <x:c r="C14" s="118" t="str">
        <x:v>专用 UoW；逐写点回滚；SQL 类型不进入应用层</x:v>
      </x:c>
      <x:c r="D14" s="118" t="str">
        <x:v>S0-05;S2-03;S2-14</x:v>
      </x:c>
      <x:c r="E14" s="118" t="str">
        <x:v>T47</x:v>
      </x:c>
      <x:c r="F14" s="118" t="str">
        <x:v>BE-A</x:v>
      </x:c>
      <x:c r="G14" s="118" t="str">
        <x:v>G2</x:v>
      </x:c>
      <x:c r="H14" s="118" t="str">
        <x:v>阻断</x:v>
      </x:c>
      <x:c r="I14" s="118" t="str">
        <x:v>未实施</x:v>
      </x:c>
      <x:c r="J14" s="118"/>
    </x:row>
    <x:row r="15" ht="66" customHeight="1">
      <x:c r="A15" s="117" t="str">
        <x:v>GVR-10</x:v>
      </x:c>
      <x:c r="B15" s="117" t="str">
        <x:v>提交后集成事件</x:v>
      </x:c>
      <x:c r="C15" s="117" t="str">
        <x:v>显式映射、Outbox、消费去重和版本兼容</x:v>
      </x:c>
      <x:c r="D15" s="117" t="str">
        <x:v>S2-07;S2-14</x:v>
      </x:c>
      <x:c r="E15" s="117" t="str">
        <x:v>T48</x:v>
      </x:c>
      <x:c r="F15" s="117" t="str">
        <x:v>BE-B</x:v>
      </x:c>
      <x:c r="G15" s="117" t="str">
        <x:v>G2</x:v>
      </x:c>
      <x:c r="H15" s="117" t="str">
        <x:v>阻断</x:v>
      </x:c>
      <x:c r="I15" s="117" t="str">
        <x:v>未实施</x:v>
      </x:c>
      <x:c r="J15" s="117"/>
    </x:row>
    <x:row r="16" ht="66" customHeight="1">
      <x:c r="A16" s="118" t="str">
        <x:v>GVR-11</x:v>
      </x:c>
      <x:c r="B16" s="118" t="str">
        <x:v>前端纯业务模型</x:v>
      </x:c>
      <x:c r="C16" s="118" t="str">
        <x:v>domain／application 不引用 UI、路由、Query 或生成客户端</x:v>
      </x:c>
      <x:c r="D16" s="118" t="str">
        <x:v>S1-07;S1-12</x:v>
      </x:c>
      <x:c r="E16" s="118" t="str">
        <x:v>T44</x:v>
      </x:c>
      <x:c r="F16" s="118" t="str">
        <x:v>FE</x:v>
      </x:c>
      <x:c r="G16" s="118" t="str">
        <x:v>G1</x:v>
      </x:c>
      <x:c r="H16" s="118" t="str">
        <x:v>阻断</x:v>
      </x:c>
      <x:c r="I16" s="118" t="str">
        <x:v>未实施</x:v>
      </x:c>
      <x:c r="J16" s="118"/>
    </x:row>
    <x:row r="17" ht="66" customHeight="1">
      <x:c r="A17" s="117" t="str">
        <x:v>GVR-12</x:v>
      </x:c>
      <x:c r="B17" s="117" t="str">
        <x:v>前端模块边界</x:v>
      </x:c>
      <x:c r="C17" s="117" t="str">
        <x:v>公开 exports；别名、相对路径、re-export 与 type-only 全检查</x:v>
      </x:c>
      <x:c r="D17" s="117" t="str">
        <x:v>S1-07;S1-13</x:v>
      </x:c>
      <x:c r="E17" s="117" t="str">
        <x:v>T44</x:v>
      </x:c>
      <x:c r="F17" s="117" t="str">
        <x:v>FE</x:v>
      </x:c>
      <x:c r="G17" s="117" t="str">
        <x:v>G1</x:v>
      </x:c>
      <x:c r="H17" s="117" t="str">
        <x:v>阻断</x:v>
      </x:c>
      <x:c r="I17" s="117" t="str">
        <x:v>未实施</x:v>
      </x:c>
      <x:c r="J17" s="117"/>
    </x:row>
    <x:row r="18" ht="66" customHeight="1">
      <x:c r="A18" s="118" t="str">
        <x:v>GVR-13</x:v>
      </x:c>
      <x:c r="B18" s="118" t="str">
        <x:v>显式装配</x:v>
      </x:c>
      <x:c r="C18" s="118" t="str">
        <x:v>bootstrap／app 是 Composition Root；禁止 service locator</x:v>
      </x:c>
      <x:c r="D18" s="118" t="str">
        <x:v>S1-01;S1-07</x:v>
      </x:c>
      <x:c r="E18" s="118" t="str">
        <x:v>T46</x:v>
      </x:c>
      <x:c r="F18" s="118" t="str">
        <x:v>BE-A／FE</x:v>
      </x:c>
      <x:c r="G18" s="118" t="str">
        <x:v>G1</x:v>
      </x:c>
      <x:c r="H18" s="118" t="str">
        <x:v>测试＋评审</x:v>
      </x:c>
      <x:c r="I18" s="118" t="str">
        <x:v>未实施</x:v>
      </x:c>
      <x:c r="J18" s="118"/>
    </x:row>
    <x:row r="19" ht="66" customHeight="1">
      <x:c r="A19" s="117" t="str">
        <x:v>GVR-14</x:v>
      </x:c>
      <x:c r="B19" s="117" t="str">
        <x:v>插件防腐层</x:v>
      </x:c>
      <x:c r="C19" s="117" t="str">
        <x:v>供应商／SDK 类型不越过端口；插件不拿领域内部包</x:v>
      </x:c>
      <x:c r="D19" s="117" t="str">
        <x:v>S3-05;S3-07;S4-01</x:v>
      </x:c>
      <x:c r="E19" s="117" t="str">
        <x:v>T42;T43;T48</x:v>
      </x:c>
      <x:c r="F19" s="117" t="str">
        <x:v>BE-B</x:v>
      </x:c>
      <x:c r="G19" s="117" t="str">
        <x:v>G4</x:v>
      </x:c>
      <x:c r="H19" s="117" t="str">
        <x:v>阻断</x:v>
      </x:c>
      <x:c r="I19" s="117" t="str">
        <x:v>未实施</x:v>
      </x:c>
      <x:c r="J19" s="117"/>
    </x:row>
    <x:row r="20" ht="66" customHeight="1">
      <x:c r="A20" s="118" t="str">
        <x:v>GVR-15</x:v>
      </x:c>
      <x:c r="B20" s="118" t="str">
        <x:v>例外到期</x:v>
      </x:c>
      <x:c r="C20" s="118" t="str">
        <x:v>例外含 ADR、负责人、范围、到期日与退出计划</x:v>
      </x:c>
      <x:c r="D20" s="118" t="str">
        <x:v>S0-10;S5-10</x:v>
      </x:c>
      <x:c r="E20" s="118" t="str">
        <x:v>T43</x:v>
      </x:c>
      <x:c r="F20" s="118" t="str">
        <x:v>BE-A／QA</x:v>
      </x:c>
      <x:c r="G20" s="118" t="str">
        <x:v>G5</x:v>
      </x:c>
      <x:c r="H20" s="118" t="str">
        <x:v>阻断＋评审</x:v>
      </x:c>
      <x:c r="I20" s="118" t="str">
        <x:v>未实施</x:v>
      </x:c>
      <x:c r="J20" s="118"/>
    </x:row>
    <x:row r="21" ht="66" customHeight="1">
      <x:c r="A21" s="117" t="str">
        <x:v>GVR-16</x:v>
      </x:c>
      <x:c r="B21" s="117" t="str">
        <x:v>证据与负向样例</x:v>
      </x:c>
      <x:c r="C21" s="117" t="str">
        <x:v>每条自动规则都包含应失败 fixture；未执行不得称通过</x:v>
      </x:c>
      <x:c r="D21" s="117" t="str">
        <x:v>S1-11;S5-10</x:v>
      </x:c>
      <x:c r="E21" s="117" t="str">
        <x:v>T41;T42;T43;T44</x:v>
      </x:c>
      <x:c r="F21" s="117" t="str">
        <x:v>QA</x:v>
      </x:c>
      <x:c r="G21" s="117" t="str">
        <x:v>G5</x:v>
      </x:c>
      <x:c r="H21" s="117" t="str">
        <x:v>阻断</x:v>
      </x:c>
      <x:c r="I21" s="117" t="str">
        <x:v>未实施</x:v>
      </x:c>
      <x:c r="J21" s="117"/>
    </x:row>
    <x:row r="24" ht="30" customHeight="1">
      <x:c r="A24" s="116" t="str">
        <x:v>规则实施汇总</x:v>
      </x:c>
      <x:c r="B24" s="116"/>
      <x:c r="C24" s="116"/>
    </x:row>
    <x:row r="25" ht="26" customHeight="1">
      <x:c r="A25" t="str">
        <x:v>规则总数</x:v>
      </x:c>
      <x:c r="B25" t="n">
        <x:f>COUNTA(A6:A21)</x:f>
        <x:v>16</x:v>
      </x:c>
    </x:row>
    <x:row r="26" ht="26" customHeight="1">
      <x:c r="A26" t="str">
        <x:v>已验证</x:v>
      </x:c>
      <x:c r="B26" t="n">
        <x:f>COUNTIF(I6:I21,"已验证")</x:f>
        <x:v>0</x:v>
      </x:c>
    </x:row>
    <x:row r="27" ht="26" customHeight="1">
      <x:c r="A27" t="str">
        <x:v>完成率</x:v>
      </x:c>
      <x:c r="B27" s="119" t="n">
        <x:f>IF(B25=0,0,B26/B25)</x:f>
        <x:v>0</x:v>
      </x:c>
    </x:row>
  </x:sheetData>
  <x:mergeCells>
    <x:mergeCell ref="A1:J1"/>
    <x:mergeCell ref="A2:J3"/>
    <x:mergeCell ref="A24:C24"/>
  </x:mergeCells>
  <x:dataValidations count="1">
    <x:dataValidation type="list" sqref="I6:I21">
      <x:formula1>"待评审,未实施,实施中,已验证,阻塞,有时限例外"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332f162b8a4450"/>
  </x:tableParts>
</x:worksheet>
</file>